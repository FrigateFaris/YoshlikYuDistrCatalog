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192" tabRatio="500" firstSheet="0" activeTab="0" autoFilterDateGrouping="1"/>
  </bookViews>
  <sheets>
    <sheet name="TDSheet" sheetId="1" state="visible" r:id="rId1"/>
    <sheet name="Лист1" sheetId="2" state="visible" r:id="rId2"/>
  </sheets>
  <definedNames/>
  <calcPr calcId="162913" fullCalcOnLoad="1" refMode="R1C1"/>
</workbook>
</file>

<file path=xl/styles.xml><?xml version="1.0" encoding="utf-8"?>
<styleSheet xmlns="http://schemas.openxmlformats.org/spreadsheetml/2006/main">
  <numFmts count="3">
    <numFmt numFmtId="164" formatCode="#\ ?/?"/>
    <numFmt numFmtId="165" formatCode="_-* #,##0\ _₽_-;\-* #,##0\ _₽_-;_-* \-??\ _₽_-;_-@_-"/>
    <numFmt numFmtId="166" formatCode="_-* #,##0.00\ _₽_-;\-* #,##0.00\ _₽_-;_-* \-??\ _₽_-;_-@_-"/>
  </numFmts>
  <fonts count="28">
    <font>
      <name val="Arial"/>
      <charset val="1"/>
      <sz val="8"/>
    </font>
    <font>
      <name val="Arial"/>
      <charset val="204"/>
      <family val="2"/>
      <sz val="8"/>
    </font>
    <font>
      <name val="Arial"/>
      <charset val="204"/>
      <family val="2"/>
      <color rgb="FF000000"/>
      <sz val="8"/>
    </font>
    <font>
      <name val="Comic Sans MS"/>
      <charset val="1"/>
      <family val="4"/>
      <b val="1"/>
      <color rgb="FF000000"/>
      <sz val="9"/>
    </font>
    <font>
      <name val="Comic Sans MS"/>
      <charset val="1"/>
      <family val="4"/>
      <color rgb="FF000000"/>
      <sz val="8"/>
    </font>
    <font>
      <name val="Comic Sans MS"/>
      <charset val="1"/>
      <family val="4"/>
      <i val="1"/>
      <color rgb="FF000000"/>
      <sz val="8"/>
    </font>
    <font>
      <name val="Arial"/>
      <charset val="204"/>
      <family val="2"/>
      <color rgb="FFFFFFFF"/>
      <sz val="8"/>
    </font>
    <font>
      <name val="Arial"/>
      <charset val="204"/>
      <family val="2"/>
      <sz val="8"/>
    </font>
    <font>
      <name val="Century Gothic"/>
      <charset val="204"/>
      <family val="2"/>
      <b val="1"/>
      <color rgb="FF000000"/>
      <sz val="9"/>
    </font>
    <font>
      <name val="Century Gothic"/>
      <charset val="204"/>
      <family val="2"/>
      <b val="1"/>
      <sz val="9"/>
    </font>
    <font>
      <name val="Arial"/>
      <charset val="204"/>
      <family val="2"/>
      <sz val="9"/>
    </font>
    <font>
      <name val="Arial"/>
      <charset val="204"/>
      <family val="2"/>
      <b val="1"/>
      <color rgb="FF000000"/>
      <sz val="9"/>
    </font>
    <font>
      <name val="Arial"/>
      <charset val="204"/>
      <family val="2"/>
      <b val="1"/>
      <i val="1"/>
      <color rgb="FF000000"/>
      <sz val="9"/>
    </font>
    <font>
      <name val="Arial"/>
      <charset val="204"/>
      <family val="2"/>
      <b val="1"/>
      <color rgb="FF003366"/>
      <sz val="9"/>
    </font>
    <font>
      <name val="Arial"/>
      <charset val="204"/>
      <family val="2"/>
      <color rgb="FFFFFFFF"/>
      <sz val="9"/>
    </font>
    <font>
      <name val="Comic Sans MS"/>
      <charset val="1"/>
      <family val="4"/>
      <b val="1"/>
      <i val="1"/>
      <color rgb="FF000000"/>
      <sz val="9"/>
    </font>
    <font>
      <name val="Arial"/>
      <charset val="204"/>
      <family val="2"/>
      <color rgb="FF000000"/>
      <sz val="9"/>
    </font>
    <font>
      <name val="Candara"/>
      <charset val="204"/>
      <family val="2"/>
      <b val="1"/>
      <color rgb="FF000000"/>
      <sz val="12"/>
    </font>
    <font>
      <name val="Century Gothic"/>
      <charset val="204"/>
      <family val="2"/>
      <color theme="1"/>
      <sz val="11"/>
    </font>
    <font>
      <name val="Century Gothic"/>
      <charset val="204"/>
      <family val="2"/>
      <b val="1"/>
      <color theme="1"/>
      <sz val="11"/>
    </font>
    <font>
      <name val="Berlin Sans FB"/>
      <family val="2"/>
      <color rgb="FF000000"/>
      <sz val="11"/>
    </font>
    <font>
      <name val="Arial"/>
      <charset val="204"/>
      <family val="2"/>
      <sz val="11"/>
    </font>
    <font>
      <name val="Berlin Sans FB"/>
      <family val="2"/>
      <sz val="34"/>
    </font>
    <font>
      <name val="Berlin Sans FB"/>
      <family val="2"/>
      <b val="1"/>
      <color rgb="FF000000"/>
      <sz val="12"/>
    </font>
    <font>
      <name val="Berlin Sans FB"/>
      <family val="2"/>
      <b val="1"/>
      <color theme="1"/>
      <sz val="12"/>
    </font>
    <font>
      <name val="Berlin Sans FB"/>
      <family val="2"/>
      <b val="1"/>
      <sz val="12"/>
    </font>
    <font>
      <name val="Berlin Sans FB"/>
      <family val="2"/>
      <color theme="1"/>
      <sz val="11"/>
    </font>
    <font>
      <color rgb="000563C1"/>
      <u val="single"/>
    </font>
  </fonts>
  <fills count="35">
    <fill>
      <patternFill/>
    </fill>
    <fill>
      <patternFill patternType="gray125"/>
    </fill>
    <fill>
      <patternFill patternType="solid">
        <fgColor rgb="FF8EB4E3"/>
        <bgColor rgb="FF9999FF"/>
      </patternFill>
    </fill>
    <fill>
      <patternFill patternType="solid">
        <fgColor rgb="FFFFFF00"/>
        <bgColor rgb="FFFFFF00"/>
      </patternFill>
    </fill>
    <fill>
      <patternFill patternType="solid">
        <fgColor rgb="FFB3A2C7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E994"/>
        <bgColor rgb="FFFFCC9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  <fill>
      <patternFill patternType="solid">
        <fgColor rgb="FF80F07A"/>
        <bgColor rgb="FFC0C0C0"/>
      </patternFill>
    </fill>
    <fill>
      <patternFill patternType="solid">
        <fgColor rgb="FF80F07A"/>
        <bgColor indexed="64"/>
      </patternFill>
    </fill>
    <fill>
      <patternFill patternType="solid">
        <fgColor theme="0"/>
        <bgColor rgb="FF9999FF"/>
      </patternFill>
    </fill>
    <fill>
      <patternFill patternType="solid">
        <fgColor theme="3" tint="0.5999938962981048"/>
        <bgColor rgb="FF9999FF"/>
      </patternFill>
    </fill>
    <fill>
      <patternFill patternType="solid">
        <fgColor theme="3" tint="0.5999938962981048"/>
        <bgColor rgb="FFFFFF00"/>
      </patternFill>
    </fill>
    <fill>
      <patternFill patternType="solid">
        <fgColor theme="4" tint="0.3999755851924192"/>
        <bgColor rgb="FFFFFF00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3999755851924192"/>
        <bgColor rgb="FFFFCC99"/>
      </patternFill>
    </fill>
    <fill>
      <patternFill patternType="solid">
        <fgColor theme="4" tint="0.3999755851924192"/>
        <bgColor rgb="FFFFFFCC"/>
      </patternFill>
    </fill>
    <fill>
      <patternFill patternType="solid">
        <fgColor theme="9" tint="0.5999938962981048"/>
        <bgColor rgb="FFFF9900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rgb="FFFFCC99"/>
      </patternFill>
    </fill>
    <fill>
      <patternFill patternType="solid">
        <fgColor theme="0" tint="-0.1499984740745262"/>
        <bgColor rgb="FFFFFFCC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rgb="FFFFFF00"/>
      </patternFill>
    </fill>
    <fill>
      <patternFill patternType="solid">
        <fgColor rgb="FF75C71B"/>
        <bgColor rgb="FFFFCC99"/>
      </patternFill>
    </fill>
    <fill>
      <patternFill patternType="solid">
        <fgColor theme="6" tint="0.3999755851924192"/>
        <bgColor rgb="FFC0C0C0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3999755851924192"/>
        <bgColor rgb="FFFFCC99"/>
      </patternFill>
    </fill>
    <fill>
      <patternFill patternType="solid">
        <fgColor theme="7" tint="0.3999755851924192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rgb="FFFFFF00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CC99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6" fontId="7" fillId="0" borderId="0"/>
  </cellStyleXfs>
  <cellXfs count="20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5" fontId="1" fillId="0" borderId="0" applyAlignment="1" pivotButton="0" quotePrefix="0" xfId="1">
      <alignment horizontal="left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6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3" fontId="4" fillId="0" borderId="2" applyAlignment="1" pivotButton="0" quotePrefix="0" xfId="0">
      <alignment horizontal="center" vertical="center"/>
    </xf>
    <xf numFmtId="14" fontId="5" fillId="0" borderId="2" applyAlignment="1" pivotButton="0" quotePrefix="0" xfId="0">
      <alignment horizontal="center" vertical="center"/>
    </xf>
    <xf numFmtId="165" fontId="4" fillId="0" borderId="2" applyAlignment="1" pivotButton="0" quotePrefix="0" xfId="1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2" applyAlignment="1" pivotButton="0" quotePrefix="0" xfId="0">
      <alignment horizontal="center" vertical="center"/>
    </xf>
    <xf numFmtId="4" fontId="11" fillId="4" borderId="2" applyAlignment="1" pivotButton="0" quotePrefix="0" xfId="0">
      <alignment horizontal="right" vertical="center"/>
    </xf>
    <xf numFmtId="164" fontId="12" fillId="4" borderId="2" applyAlignment="1" pivotButton="0" quotePrefix="0" xfId="0">
      <alignment horizontal="right" vertical="center"/>
    </xf>
    <xf numFmtId="0" fontId="10" fillId="0" borderId="2" applyAlignment="1" pivotButton="0" quotePrefix="0" xfId="0">
      <alignment vertical="center"/>
    </xf>
    <xf numFmtId="165" fontId="13" fillId="4" borderId="2" applyAlignment="1" pivotButton="0" quotePrefix="0" xfId="1">
      <alignment horizontal="right" vertical="center"/>
    </xf>
    <xf numFmtId="0" fontId="10" fillId="0" borderId="0" applyAlignment="1" pivotButton="0" quotePrefix="0" xfId="0">
      <alignment vertical="center"/>
    </xf>
    <xf numFmtId="4" fontId="11" fillId="9" borderId="2" applyAlignment="1" pivotButton="0" quotePrefix="0" xfId="0">
      <alignment horizontal="right" vertical="center"/>
    </xf>
    <xf numFmtId="164" fontId="12" fillId="9" borderId="2" applyAlignment="1" pivotButton="0" quotePrefix="0" xfId="0">
      <alignment horizontal="right" vertical="center"/>
    </xf>
    <xf numFmtId="0" fontId="10" fillId="10" borderId="2" applyAlignment="1" pivotButton="0" quotePrefix="0" xfId="0">
      <alignment vertical="center"/>
    </xf>
    <xf numFmtId="165" fontId="13" fillId="9" borderId="2" applyAlignment="1" pivotButton="0" quotePrefix="0" xfId="1">
      <alignment horizontal="right" vertical="center"/>
    </xf>
    <xf numFmtId="4" fontId="11" fillId="6" borderId="2" applyAlignment="1" pivotButton="0" quotePrefix="0" xfId="0">
      <alignment horizontal="right" vertical="center"/>
    </xf>
    <xf numFmtId="164" fontId="12" fillId="6" borderId="2" applyAlignment="1" pivotButton="0" quotePrefix="0" xfId="0">
      <alignment horizontal="right" vertical="center"/>
    </xf>
    <xf numFmtId="165" fontId="11" fillId="6" borderId="2" applyAlignment="1" pivotButton="0" quotePrefix="0" xfId="1">
      <alignment horizontal="right" vertical="center"/>
    </xf>
    <xf numFmtId="0" fontId="10" fillId="0" borderId="2" applyAlignment="1" pivotButton="0" quotePrefix="0" xfId="0">
      <alignment horizontal="left" vertical="center"/>
    </xf>
    <xf numFmtId="4" fontId="3" fillId="7" borderId="2" applyAlignment="1" pivotButton="0" quotePrefix="0" xfId="0">
      <alignment horizontal="left" vertical="center"/>
    </xf>
    <xf numFmtId="164" fontId="3" fillId="7" borderId="2" applyAlignment="1" pivotButton="0" quotePrefix="0" xfId="0">
      <alignment horizontal="left" vertical="center"/>
    </xf>
    <xf numFmtId="165" fontId="11" fillId="7" borderId="2" applyAlignment="1" pivotButton="0" quotePrefix="0" xfId="1">
      <alignment horizontal="left" vertical="center"/>
    </xf>
    <xf numFmtId="4" fontId="11" fillId="7" borderId="2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4" fontId="3" fillId="7" borderId="2" applyAlignment="1" pivotButton="0" quotePrefix="0" xfId="0">
      <alignment horizontal="right" vertical="center"/>
    </xf>
    <xf numFmtId="164" fontId="15" fillId="7" borderId="2" applyAlignment="1" pivotButton="0" quotePrefix="0" xfId="0">
      <alignment horizontal="right" vertical="center"/>
    </xf>
    <xf numFmtId="165" fontId="11" fillId="7" borderId="2" applyAlignment="1" pivotButton="0" quotePrefix="0" xfId="1">
      <alignment horizontal="right" vertical="center"/>
    </xf>
    <xf numFmtId="4" fontId="3" fillId="8" borderId="2" applyAlignment="1" pivotButton="0" quotePrefix="0" xfId="0">
      <alignment horizontal="center" vertical="center" wrapText="1"/>
    </xf>
    <xf numFmtId="164" fontId="15" fillId="8" borderId="2" applyAlignment="1" pivotButton="0" quotePrefix="0" xfId="0">
      <alignment horizontal="right" vertical="center"/>
    </xf>
    <xf numFmtId="4" fontId="3" fillId="8" borderId="2" applyAlignment="1" pivotButton="0" quotePrefix="0" xfId="0">
      <alignment horizontal="right" vertical="center"/>
    </xf>
    <xf numFmtId="165" fontId="11" fillId="8" borderId="2" applyAlignment="1" pivotButton="0" quotePrefix="0" xfId="1">
      <alignment horizontal="right" vertical="center"/>
    </xf>
    <xf numFmtId="0" fontId="16" fillId="0" borderId="2" applyAlignment="1" pivotButton="0" quotePrefix="0" xfId="0">
      <alignment horizontal="center" vertical="center"/>
    </xf>
    <xf numFmtId="4" fontId="3" fillId="2" borderId="2" applyAlignment="1" pivotButton="0" quotePrefix="0" xfId="0">
      <alignment horizontal="right" vertical="center"/>
    </xf>
    <xf numFmtId="164" fontId="15" fillId="2" borderId="2" applyAlignment="1" pivotButton="0" quotePrefix="0" xfId="0">
      <alignment horizontal="right" vertical="center"/>
    </xf>
    <xf numFmtId="165" fontId="11" fillId="2" borderId="2" applyAlignment="1" pivotButton="0" quotePrefix="0" xfId="1">
      <alignment horizontal="right" vertical="center"/>
    </xf>
    <xf numFmtId="3" fontId="4" fillId="5" borderId="2" applyAlignment="1" pivotButton="0" quotePrefix="0" xfId="0">
      <alignment horizontal="center" vertical="center"/>
    </xf>
    <xf numFmtId="14" fontId="5" fillId="5" borderId="2" applyAlignment="1" pivotButton="0" quotePrefix="0" xfId="0">
      <alignment horizontal="center" vertical="center"/>
    </xf>
    <xf numFmtId="165" fontId="4" fillId="5" borderId="2" applyAlignment="1" pivotButton="0" quotePrefix="0" xfId="1">
      <alignment horizontal="center" vertical="center"/>
    </xf>
    <xf numFmtId="1" fontId="4" fillId="5" borderId="2" applyAlignment="1" pivotButton="0" quotePrefix="0" xfId="0">
      <alignment horizontal="center" vertical="center"/>
    </xf>
    <xf numFmtId="165" fontId="2" fillId="3" borderId="2" applyAlignment="1" pivotButton="0" quotePrefix="0" xfId="1">
      <alignment horizontal="right" vertical="center"/>
    </xf>
    <xf numFmtId="165" fontId="2" fillId="0" borderId="2" applyAlignment="1" pivotButton="0" quotePrefix="0" xfId="1">
      <alignment horizontal="right" vertical="center"/>
    </xf>
    <xf numFmtId="0" fontId="6" fillId="0" borderId="2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" fontId="4" fillId="0" borderId="2" applyAlignment="1" pivotButton="0" quotePrefix="0" xfId="0">
      <alignment horizontal="center" vertical="center"/>
    </xf>
    <xf numFmtId="0" fontId="2" fillId="5" borderId="2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5" fontId="2" fillId="5" borderId="2" applyAlignment="1" pivotButton="0" quotePrefix="0" xfId="1">
      <alignment horizontal="right" vertical="center"/>
    </xf>
    <xf numFmtId="0" fontId="17" fillId="11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/>
    </xf>
    <xf numFmtId="3" fontId="19" fillId="4" borderId="2" applyAlignment="1" pivotButton="0" quotePrefix="0" xfId="0">
      <alignment horizontal="center" vertical="center"/>
    </xf>
    <xf numFmtId="3" fontId="19" fillId="5" borderId="2" applyAlignment="1" pivotButton="0" quotePrefix="0" xfId="0">
      <alignment horizontal="center" vertical="center"/>
    </xf>
    <xf numFmtId="3" fontId="19" fillId="9" borderId="2" applyAlignment="1" pivotButton="0" quotePrefix="0" xfId="0">
      <alignment horizontal="center" vertical="center"/>
    </xf>
    <xf numFmtId="3" fontId="19" fillId="6" borderId="2" applyAlignment="1" pivotButton="0" quotePrefix="0" xfId="0">
      <alignment horizontal="center" vertical="center"/>
    </xf>
    <xf numFmtId="3" fontId="19" fillId="7" borderId="2" applyAlignment="1" pivotButton="0" quotePrefix="0" xfId="0">
      <alignment horizontal="center" vertical="center"/>
    </xf>
    <xf numFmtId="3" fontId="19" fillId="0" borderId="2" applyAlignment="1" pivotButton="0" quotePrefix="0" xfId="0">
      <alignment horizontal="center" vertical="center"/>
    </xf>
    <xf numFmtId="3" fontId="19" fillId="8" borderId="2" applyAlignment="1" pivotButton="0" quotePrefix="0" xfId="0">
      <alignment horizontal="center" vertical="center"/>
    </xf>
    <xf numFmtId="3" fontId="19" fillId="2" borderId="2" applyAlignment="1" pivotButton="0" quotePrefix="0" xfId="0">
      <alignment horizontal="center" vertical="center"/>
    </xf>
    <xf numFmtId="0" fontId="20" fillId="4" borderId="2" applyAlignment="1" pivotButton="0" quotePrefix="0" xfId="0">
      <alignment horizontal="left" vertical="center" wrapText="1"/>
    </xf>
    <xf numFmtId="0" fontId="20" fillId="5" borderId="2" applyAlignment="1" pivotButton="0" quotePrefix="0" xfId="0">
      <alignment horizontal="left" vertical="center" wrapText="1"/>
    </xf>
    <xf numFmtId="0" fontId="20" fillId="5" borderId="2" applyAlignment="1" pivotButton="0" quotePrefix="0" xfId="0">
      <alignment horizontal="left" vertical="center"/>
    </xf>
    <xf numFmtId="0" fontId="20" fillId="6" borderId="2" applyAlignment="1" pivotButton="0" quotePrefix="0" xfId="0">
      <alignment horizontal="left" vertical="center" wrapText="1"/>
    </xf>
    <xf numFmtId="0" fontId="20" fillId="9" borderId="2" applyAlignment="1" pivotButton="0" quotePrefix="0" xfId="0">
      <alignment horizontal="left" vertical="center" wrapText="1"/>
    </xf>
    <xf numFmtId="0" fontId="20" fillId="7" borderId="2" applyAlignment="1" pivotButton="0" quotePrefix="0" xfId="0">
      <alignment horizontal="left" vertical="center" wrapText="1"/>
    </xf>
    <xf numFmtId="0" fontId="20" fillId="8" borderId="2" applyAlignment="1" pivotButton="0" quotePrefix="0" xfId="0">
      <alignment horizontal="left" vertical="center" wrapText="1"/>
    </xf>
    <xf numFmtId="0" fontId="20" fillId="0" borderId="2" applyAlignment="1" pivotButton="0" quotePrefix="0" xfId="0">
      <alignment horizontal="left" vertical="center"/>
    </xf>
    <xf numFmtId="0" fontId="20" fillId="0" borderId="2" applyAlignment="1" pivotButton="0" quotePrefix="0" xfId="0">
      <alignment horizontal="left" vertical="center" wrapText="1"/>
    </xf>
    <xf numFmtId="0" fontId="20" fillId="2" borderId="2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top"/>
    </xf>
    <xf numFmtId="0" fontId="25" fillId="0" borderId="2" pivotButton="0" quotePrefix="0" xfId="0"/>
    <xf numFmtId="0" fontId="23" fillId="12" borderId="2" applyAlignment="1" pivotButton="0" quotePrefix="0" xfId="0">
      <alignment horizontal="center" vertical="center" wrapText="1"/>
    </xf>
    <xf numFmtId="0" fontId="24" fillId="12" borderId="2" applyAlignment="1" pivotButton="0" quotePrefix="0" xfId="0">
      <alignment horizontal="center" vertical="center" wrapText="1"/>
    </xf>
    <xf numFmtId="164" fontId="23" fillId="12" borderId="2" applyAlignment="1" pivotButton="0" quotePrefix="0" xfId="0">
      <alignment horizontal="center" vertical="center" wrapText="1"/>
    </xf>
    <xf numFmtId="165" fontId="25" fillId="13" borderId="2" applyAlignment="1" pivotButton="0" quotePrefix="0" xfId="1">
      <alignment horizontal="center" vertical="center" wrapText="1"/>
    </xf>
    <xf numFmtId="165" fontId="2" fillId="14" borderId="2" applyAlignment="1" pivotButton="0" quotePrefix="0" xfId="1">
      <alignment horizontal="right" vertical="center"/>
    </xf>
    <xf numFmtId="165" fontId="2" fillId="15" borderId="2" applyAlignment="1" pivotButton="0" quotePrefix="0" xfId="1">
      <alignment horizontal="right" vertical="center"/>
    </xf>
    <xf numFmtId="0" fontId="8" fillId="16" borderId="2" applyAlignment="1" pivotButton="0" quotePrefix="0" xfId="0">
      <alignment horizontal="center" vertical="center" wrapText="1"/>
    </xf>
    <xf numFmtId="0" fontId="20" fillId="17" borderId="2" applyAlignment="1" pivotButton="0" quotePrefix="0" xfId="0">
      <alignment horizontal="left" vertical="center"/>
    </xf>
    <xf numFmtId="3" fontId="19" fillId="17" borderId="2" applyAlignment="1" pivotButton="0" quotePrefix="0" xfId="0">
      <alignment horizontal="center" vertical="center"/>
    </xf>
    <xf numFmtId="3" fontId="4" fillId="17" borderId="2" applyAlignment="1" pivotButton="0" quotePrefix="0" xfId="0">
      <alignment horizontal="center" vertical="center"/>
    </xf>
    <xf numFmtId="14" fontId="5" fillId="17" borderId="2" applyAlignment="1" pivotButton="0" quotePrefix="0" xfId="0">
      <alignment horizontal="center" vertical="center"/>
    </xf>
    <xf numFmtId="165" fontId="4" fillId="17" borderId="2" applyAlignment="1" pivotButton="0" quotePrefix="0" xfId="1">
      <alignment horizontal="center" vertical="center"/>
    </xf>
    <xf numFmtId="1" fontId="4" fillId="17" borderId="2" applyAlignment="1" pivotButton="0" quotePrefix="0" xfId="0">
      <alignment horizontal="center" vertical="center"/>
    </xf>
    <xf numFmtId="0" fontId="26" fillId="5" borderId="2" applyAlignment="1" pivotButton="0" quotePrefix="0" xfId="0">
      <alignment horizontal="left" vertical="center"/>
    </xf>
    <xf numFmtId="0" fontId="8" fillId="18" borderId="2" applyAlignment="1" pivotButton="0" quotePrefix="0" xfId="0">
      <alignment horizontal="left" vertical="center" wrapText="1"/>
    </xf>
    <xf numFmtId="0" fontId="20" fillId="18" borderId="2" applyAlignment="1" pivotButton="0" quotePrefix="0" xfId="0">
      <alignment horizontal="left" vertical="center" wrapText="1"/>
    </xf>
    <xf numFmtId="3" fontId="19" fillId="18" borderId="2" applyAlignment="1" pivotButton="0" quotePrefix="0" xfId="0">
      <alignment horizontal="center" vertical="center"/>
    </xf>
    <xf numFmtId="4" fontId="3" fillId="18" borderId="2" applyAlignment="1" pivotButton="0" quotePrefix="0" xfId="0">
      <alignment horizontal="left" vertical="center"/>
    </xf>
    <xf numFmtId="164" fontId="3" fillId="18" borderId="2" applyAlignment="1" pivotButton="0" quotePrefix="0" xfId="0">
      <alignment horizontal="left" vertical="center"/>
    </xf>
    <xf numFmtId="0" fontId="10" fillId="19" borderId="2" applyAlignment="1" pivotButton="0" quotePrefix="0" xfId="0">
      <alignment horizontal="left" vertical="center"/>
    </xf>
    <xf numFmtId="165" fontId="11" fillId="18" borderId="2" applyAlignment="1" pivotButton="0" quotePrefix="0" xfId="1">
      <alignment horizontal="left" vertical="center"/>
    </xf>
    <xf numFmtId="4" fontId="11" fillId="18" borderId="2" applyAlignment="1" pivotButton="0" quotePrefix="0" xfId="0">
      <alignment horizontal="left" vertical="center"/>
    </xf>
    <xf numFmtId="0" fontId="8" fillId="18" borderId="2" applyAlignment="1" pivotButton="0" quotePrefix="0" xfId="0">
      <alignment horizontal="center" vertical="center" wrapText="1"/>
    </xf>
    <xf numFmtId="0" fontId="8" fillId="20" borderId="2" applyAlignment="1" pivotButton="0" quotePrefix="0" xfId="0">
      <alignment horizontal="center" vertical="center" wrapText="1"/>
    </xf>
    <xf numFmtId="0" fontId="20" fillId="21" borderId="2" applyAlignment="1" pivotButton="0" quotePrefix="0" xfId="0">
      <alignment horizontal="left" vertical="center"/>
    </xf>
    <xf numFmtId="3" fontId="19" fillId="21" borderId="2" applyAlignment="1" pivotButton="0" quotePrefix="0" xfId="0">
      <alignment horizontal="center" vertical="center"/>
    </xf>
    <xf numFmtId="3" fontId="4" fillId="21" borderId="2" applyAlignment="1" pivotButton="0" quotePrefix="0" xfId="0">
      <alignment horizontal="center" vertical="center"/>
    </xf>
    <xf numFmtId="14" fontId="5" fillId="21" borderId="2" applyAlignment="1" pivotButton="0" quotePrefix="0" xfId="0">
      <alignment horizontal="center" vertical="center"/>
    </xf>
    <xf numFmtId="165" fontId="4" fillId="21" borderId="2" applyAlignment="1" pivotButton="0" quotePrefix="0" xfId="1">
      <alignment horizontal="center" vertical="center"/>
    </xf>
    <xf numFmtId="1" fontId="4" fillId="21" borderId="2" applyAlignment="1" pivotButton="0" quotePrefix="0" xfId="0">
      <alignment horizontal="center" vertical="center"/>
    </xf>
    <xf numFmtId="0" fontId="6" fillId="22" borderId="2" applyAlignment="1" pivotButton="0" quotePrefix="0" xfId="0">
      <alignment vertical="center"/>
    </xf>
    <xf numFmtId="165" fontId="2" fillId="23" borderId="2" applyAlignment="1" pivotButton="0" quotePrefix="0" xfId="1">
      <alignment horizontal="right" vertical="center"/>
    </xf>
    <xf numFmtId="165" fontId="2" fillId="22" borderId="2" applyAlignment="1" pivotButton="0" quotePrefix="0" xfId="1">
      <alignment horizontal="right" vertical="center"/>
    </xf>
    <xf numFmtId="0" fontId="8" fillId="24" borderId="2" applyAlignment="1" pivotButton="0" quotePrefix="0" xfId="0">
      <alignment horizontal="center" vertical="center" wrapText="1"/>
    </xf>
    <xf numFmtId="0" fontId="20" fillId="24" borderId="2" applyAlignment="1" pivotButton="0" quotePrefix="0" xfId="0">
      <alignment horizontal="left" vertical="center" wrapText="1"/>
    </xf>
    <xf numFmtId="3" fontId="19" fillId="24" borderId="2" applyAlignment="1" pivotButton="0" quotePrefix="0" xfId="0">
      <alignment horizontal="center" vertical="center"/>
    </xf>
    <xf numFmtId="4" fontId="11" fillId="24" borderId="2" applyAlignment="1" pivotButton="0" quotePrefix="0" xfId="0">
      <alignment horizontal="right" vertical="center"/>
    </xf>
    <xf numFmtId="164" fontId="12" fillId="24" borderId="2" applyAlignment="1" pivotButton="0" quotePrefix="0" xfId="0">
      <alignment horizontal="right" vertical="center"/>
    </xf>
    <xf numFmtId="165" fontId="11" fillId="24" borderId="2" applyAlignment="1" pivotButton="0" quotePrefix="0" xfId="1">
      <alignment horizontal="right" vertical="center"/>
    </xf>
    <xf numFmtId="49" fontId="4" fillId="5" borderId="2" applyAlignment="1" pivotButton="0" quotePrefix="0" xfId="1">
      <alignment horizontal="center" vertical="center"/>
    </xf>
    <xf numFmtId="0" fontId="8" fillId="25" borderId="2" applyAlignment="1" pivotButton="0" quotePrefix="0" xfId="0">
      <alignment horizontal="center" vertical="center" wrapText="1"/>
    </xf>
    <xf numFmtId="0" fontId="20" fillId="25" borderId="2" applyAlignment="1" pivotButton="0" quotePrefix="0" xfId="0">
      <alignment horizontal="left" vertical="center" wrapText="1"/>
    </xf>
    <xf numFmtId="3" fontId="19" fillId="25" borderId="2" applyAlignment="1" pivotButton="0" quotePrefix="0" xfId="0">
      <alignment horizontal="center" vertical="center"/>
    </xf>
    <xf numFmtId="4" fontId="11" fillId="25" borderId="2" applyAlignment="1" pivotButton="0" quotePrefix="0" xfId="0">
      <alignment horizontal="right" vertical="center"/>
    </xf>
    <xf numFmtId="164" fontId="12" fillId="25" borderId="2" applyAlignment="1" pivotButton="0" quotePrefix="0" xfId="0">
      <alignment horizontal="right" vertical="center"/>
    </xf>
    <xf numFmtId="0" fontId="10" fillId="26" borderId="2" applyAlignment="1" pivotButton="0" quotePrefix="0" xfId="0">
      <alignment vertical="center"/>
    </xf>
    <xf numFmtId="165" fontId="13" fillId="25" borderId="2" applyAlignment="1" pivotButton="0" quotePrefix="0" xfId="1">
      <alignment horizontal="right" vertical="center"/>
    </xf>
    <xf numFmtId="0" fontId="8" fillId="27" borderId="2" applyAlignment="1" pivotButton="0" quotePrefix="0" xfId="0">
      <alignment horizontal="center" vertical="center" wrapText="1"/>
    </xf>
    <xf numFmtId="0" fontId="20" fillId="28" borderId="2" applyAlignment="1" pivotButton="0" quotePrefix="0" xfId="0">
      <alignment horizontal="left" vertical="center"/>
    </xf>
    <xf numFmtId="3" fontId="19" fillId="28" borderId="2" applyAlignment="1" pivotButton="0" quotePrefix="0" xfId="0">
      <alignment horizontal="center" vertical="center"/>
    </xf>
    <xf numFmtId="3" fontId="4" fillId="28" borderId="2" applyAlignment="1" pivotButton="0" quotePrefix="0" xfId="0">
      <alignment horizontal="center" vertical="center"/>
    </xf>
    <xf numFmtId="14" fontId="5" fillId="28" borderId="2" applyAlignment="1" pivotButton="0" quotePrefix="0" xfId="0">
      <alignment horizontal="center" vertical="center"/>
    </xf>
    <xf numFmtId="165" fontId="4" fillId="28" borderId="2" applyAlignment="1" pivotButton="0" quotePrefix="0" xfId="1">
      <alignment horizontal="center" vertical="center"/>
    </xf>
    <xf numFmtId="1" fontId="4" fillId="28" borderId="2" applyAlignment="1" pivotButton="0" quotePrefix="0" xfId="0">
      <alignment horizontal="center" vertical="center"/>
    </xf>
    <xf numFmtId="0" fontId="6" fillId="29" borderId="2" applyAlignment="1" pivotButton="0" quotePrefix="0" xfId="0">
      <alignment vertical="center"/>
    </xf>
    <xf numFmtId="165" fontId="2" fillId="30" borderId="2" applyAlignment="1" pivotButton="0" quotePrefix="0" xfId="1">
      <alignment horizontal="right" vertical="center"/>
    </xf>
    <xf numFmtId="165" fontId="2" fillId="31" borderId="2" applyAlignment="1" pivotButton="0" quotePrefix="0" xfId="1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20" fillId="32" borderId="2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20" fillId="32" borderId="2" applyAlignment="1" pivotButton="0" quotePrefix="0" xfId="0">
      <alignment horizontal="left" vertical="center" wrapText="1"/>
    </xf>
    <xf numFmtId="0" fontId="8" fillId="33" borderId="2" applyAlignment="1" pivotButton="0" quotePrefix="0" xfId="0">
      <alignment horizontal="center" vertical="center" wrapText="1"/>
    </xf>
    <xf numFmtId="0" fontId="20" fillId="33" borderId="2" applyAlignment="1" pivotButton="0" quotePrefix="0" xfId="0">
      <alignment horizontal="left" vertical="center" wrapText="1"/>
    </xf>
    <xf numFmtId="3" fontId="19" fillId="33" borderId="2" applyAlignment="1" pivotButton="0" quotePrefix="0" xfId="0">
      <alignment horizontal="center" vertical="center"/>
    </xf>
    <xf numFmtId="4" fontId="11" fillId="33" borderId="2" applyAlignment="1" pivotButton="0" quotePrefix="0" xfId="0">
      <alignment horizontal="right" vertical="center"/>
    </xf>
    <xf numFmtId="164" fontId="12" fillId="33" borderId="2" applyAlignment="1" pivotButton="0" quotePrefix="0" xfId="0">
      <alignment horizontal="right" vertical="center"/>
    </xf>
    <xf numFmtId="0" fontId="10" fillId="34" borderId="2" applyAlignment="1" pivotButton="0" quotePrefix="0" xfId="0">
      <alignment vertical="center"/>
    </xf>
    <xf numFmtId="165" fontId="11" fillId="33" borderId="2" applyAlignment="1" pivotButton="0" quotePrefix="0" xfId="1">
      <alignment horizontal="right" vertical="center"/>
    </xf>
    <xf numFmtId="165" fontId="4" fillId="5" borderId="2" applyAlignment="1" pivotButton="0" quotePrefix="0" xfId="1">
      <alignment horizontal="center" vertical="top"/>
    </xf>
    <xf numFmtId="0" fontId="22" fillId="0" borderId="1" applyAlignment="1" pivotButton="0" quotePrefix="0" xfId="0">
      <alignment horizontal="center" vertical="center"/>
    </xf>
    <xf numFmtId="165" fontId="1" fillId="0" borderId="3" applyAlignment="1" pivotButton="0" quotePrefix="0" xfId="1">
      <alignment horizontal="center"/>
    </xf>
    <xf numFmtId="165" fontId="1" fillId="0" borderId="0" applyAlignment="1" pivotButton="0" quotePrefix="0" xfId="1">
      <alignment horizontal="left"/>
    </xf>
    <xf numFmtId="0" fontId="0" fillId="0" borderId="4" pivotButton="0" quotePrefix="0" xfId="0"/>
    <xf numFmtId="0" fontId="0" fillId="0" borderId="5" pivotButton="0" quotePrefix="0" xfId="0"/>
    <xf numFmtId="165" fontId="1" fillId="0" borderId="3" applyAlignment="1" pivotButton="0" quotePrefix="0" xfId="1">
      <alignment horizontal="center"/>
    </xf>
    <xf numFmtId="0" fontId="0" fillId="0" borderId="3" pivotButton="0" quotePrefix="0" xfId="0"/>
    <xf numFmtId="165" fontId="25" fillId="13" borderId="2" applyAlignment="1" pivotButton="0" quotePrefix="0" xfId="1">
      <alignment horizontal="center" vertical="center" wrapText="1"/>
    </xf>
    <xf numFmtId="165" fontId="13" fillId="4" borderId="2" applyAlignment="1" pivotButton="0" quotePrefix="0" xfId="1">
      <alignment horizontal="right" vertical="center"/>
    </xf>
    <xf numFmtId="0" fontId="27" fillId="5" borderId="2" applyAlignment="1" pivotButton="0" quotePrefix="0" xfId="0">
      <alignment horizontal="left" vertical="center" wrapText="1"/>
    </xf>
    <xf numFmtId="165" fontId="4" fillId="5" borderId="2" applyAlignment="1" pivotButton="0" quotePrefix="0" xfId="1">
      <alignment horizontal="center" vertical="center"/>
    </xf>
    <xf numFmtId="165" fontId="2" fillId="3" borderId="2" applyAlignment="1" pivotButton="0" quotePrefix="0" xfId="1">
      <alignment horizontal="right" vertical="center"/>
    </xf>
    <xf numFmtId="165" fontId="2" fillId="0" borderId="2" applyAlignment="1" pivotButton="0" quotePrefix="0" xfId="1">
      <alignment horizontal="right" vertical="center"/>
    </xf>
    <xf numFmtId="165" fontId="4" fillId="5" borderId="2" applyAlignment="1" pivotButton="0" quotePrefix="0" xfId="1">
      <alignment horizontal="center" vertical="top"/>
    </xf>
    <xf numFmtId="0" fontId="27" fillId="5" borderId="2" applyAlignment="1" pivotButton="0" quotePrefix="0" xfId="0">
      <alignment horizontal="left" vertical="center"/>
    </xf>
    <xf numFmtId="0" fontId="27" fillId="32" borderId="2" applyAlignment="1" pivotButton="0" quotePrefix="0" xfId="0">
      <alignment horizontal="left" vertical="center"/>
    </xf>
    <xf numFmtId="165" fontId="11" fillId="33" borderId="2" applyAlignment="1" pivotButton="0" quotePrefix="0" xfId="1">
      <alignment horizontal="right" vertical="center"/>
    </xf>
    <xf numFmtId="165" fontId="11" fillId="24" borderId="2" applyAlignment="1" pivotButton="0" quotePrefix="0" xfId="1">
      <alignment horizontal="right" vertical="center"/>
    </xf>
    <xf numFmtId="165" fontId="11" fillId="6" borderId="2" applyAlignment="1" pivotButton="0" quotePrefix="0" xfId="1">
      <alignment horizontal="right" vertical="center"/>
    </xf>
    <xf numFmtId="165" fontId="4" fillId="17" borderId="2" applyAlignment="1" pivotButton="0" quotePrefix="0" xfId="1">
      <alignment horizontal="center" vertical="center"/>
    </xf>
    <xf numFmtId="165" fontId="2" fillId="14" borderId="2" applyAlignment="1" pivotButton="0" quotePrefix="0" xfId="1">
      <alignment horizontal="right" vertical="center"/>
    </xf>
    <xf numFmtId="165" fontId="2" fillId="15" borderId="2" applyAlignment="1" pivotButton="0" quotePrefix="0" xfId="1">
      <alignment horizontal="right" vertical="center"/>
    </xf>
    <xf numFmtId="165" fontId="4" fillId="21" borderId="2" applyAlignment="1" pivotButton="0" quotePrefix="0" xfId="1">
      <alignment horizontal="center" vertical="center"/>
    </xf>
    <xf numFmtId="165" fontId="2" fillId="23" borderId="2" applyAlignment="1" pivotButton="0" quotePrefix="0" xfId="1">
      <alignment horizontal="right" vertical="center"/>
    </xf>
    <xf numFmtId="165" fontId="2" fillId="22" borderId="2" applyAlignment="1" pivotButton="0" quotePrefix="0" xfId="1">
      <alignment horizontal="right" vertical="center"/>
    </xf>
    <xf numFmtId="165" fontId="4" fillId="28" borderId="2" applyAlignment="1" pivotButton="0" quotePrefix="0" xfId="1">
      <alignment horizontal="center" vertical="center"/>
    </xf>
    <xf numFmtId="165" fontId="2" fillId="30" borderId="2" applyAlignment="1" pivotButton="0" quotePrefix="0" xfId="1">
      <alignment horizontal="right" vertical="center"/>
    </xf>
    <xf numFmtId="165" fontId="2" fillId="31" borderId="2" applyAlignment="1" pivotButton="0" quotePrefix="0" xfId="1">
      <alignment horizontal="right" vertical="center"/>
    </xf>
    <xf numFmtId="165" fontId="13" fillId="9" borderId="2" applyAlignment="1" pivotButton="0" quotePrefix="0" xfId="1">
      <alignment horizontal="right" vertical="center"/>
    </xf>
    <xf numFmtId="0" fontId="27" fillId="32" borderId="2" applyAlignment="1" pivotButton="0" quotePrefix="0" xfId="0">
      <alignment horizontal="left" vertical="center" wrapText="1"/>
    </xf>
    <xf numFmtId="165" fontId="13" fillId="25" borderId="2" applyAlignment="1" pivotButton="0" quotePrefix="0" xfId="1">
      <alignment horizontal="right" vertical="center"/>
    </xf>
    <xf numFmtId="165" fontId="11" fillId="18" borderId="2" applyAlignment="1" pivotButton="0" quotePrefix="0" xfId="1">
      <alignment horizontal="left" vertical="center"/>
    </xf>
    <xf numFmtId="165" fontId="4" fillId="0" borderId="2" applyAlignment="1" pivotButton="0" quotePrefix="0" xfId="1">
      <alignment horizontal="center" vertical="center"/>
    </xf>
    <xf numFmtId="165" fontId="11" fillId="7" borderId="2" applyAlignment="1" pivotButton="0" quotePrefix="0" xfId="1">
      <alignment horizontal="left" vertical="center"/>
    </xf>
    <xf numFmtId="165" fontId="11" fillId="7" borderId="2" applyAlignment="1" pivotButton="0" quotePrefix="0" xfId="1">
      <alignment horizontal="right" vertical="center"/>
    </xf>
    <xf numFmtId="165" fontId="11" fillId="8" borderId="2" applyAlignment="1" pivotButton="0" quotePrefix="0" xfId="1">
      <alignment horizontal="right" vertical="center"/>
    </xf>
    <xf numFmtId="165" fontId="11" fillId="2" borderId="2" applyAlignment="1" pivotButton="0" quotePrefix="0" xfId="1">
      <alignment horizontal="right" vertical="center"/>
    </xf>
    <xf numFmtId="165" fontId="2" fillId="5" borderId="2" applyAlignment="1" pivotButton="0" quotePrefix="0" xfId="1">
      <alignment horizontal="right" vertical="center"/>
    </xf>
  </cellXfs>
  <cellStyles count="2">
    <cellStyle name="Обычный" xfId="0" builtinId="0"/>
    <cellStyle name="Финансовый" xfId="1" builtinId="3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8EB4E3"/>
      <rgbColor rgb="FFFF99CC"/>
      <rgbColor rgb="FFB3A2C7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252539</colOff>
      <row>0</row>
      <rowOff>95251</rowOff>
    </from>
    <to>
      <col>12</col>
      <colOff>621256</colOff>
      <row>0</row>
      <rowOff>528205</rowOff>
    </to>
    <pic>
      <nvPicPr>
        <cNvPr id="2" name="Picture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804016" y="95251"/>
          <a:ext cx="1018149" cy="43295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yyd-catalog.uz/#/p/now-vitamin-a-10000iu-100-sgels" TargetMode="External" Id="rId1" /><Relationship Type="http://schemas.openxmlformats.org/officeDocument/2006/relationships/hyperlink" Target="https://yyd-catalog.uz/#/p/now-vitamin-a-25000-100-sgels" TargetMode="External" Id="rId2" /><Relationship Type="http://schemas.openxmlformats.org/officeDocument/2006/relationships/hyperlink" Target="https://yyd-catalog.uz/#/p/now-biotin-5000-60-vcaps" TargetMode="External" Id="rId3" /><Relationship Type="http://schemas.openxmlformats.org/officeDocument/2006/relationships/hyperlink" Target="https://yyd-catalog.uz/#/p/now-biotin-5000-60-vcaps" TargetMode="External" Id="rId4" /><Relationship Type="http://schemas.openxmlformats.org/officeDocument/2006/relationships/hyperlink" Target="https://yyd-catalog.uz/#/p/now-biotin-10000mcg-120-vcaps" TargetMode="External" Id="rId5" /><Relationship Type="http://schemas.openxmlformats.org/officeDocument/2006/relationships/hyperlink" Target="https://yyd-catalog.uz/#/p/now-omega-3-1000mg" TargetMode="External" Id="rId6" /><Relationship Type="http://schemas.openxmlformats.org/officeDocument/2006/relationships/hyperlink" Target="https://yyd-catalog.uz/#/p/now-omega-3-1000mg" TargetMode="External" Id="rId7" /><Relationship Type="http://schemas.openxmlformats.org/officeDocument/2006/relationships/hyperlink" Target="https://yyd-catalog.uz/#/p/now-omega-3-1000mg" TargetMode="External" Id="rId8" /><Relationship Type="http://schemas.openxmlformats.org/officeDocument/2006/relationships/hyperlink" Target="https://yyd-catalog.uz/#/p/now-omega-3-1000mg" TargetMode="External" Id="rId9" /><Relationship Type="http://schemas.openxmlformats.org/officeDocument/2006/relationships/hyperlink" Target="https://yyd-catalog.uz/#/p/now-omega-3-6-9-1000mg" TargetMode="External" Id="rId10" /><Relationship Type="http://schemas.openxmlformats.org/officeDocument/2006/relationships/hyperlink" Target="https://yyd-catalog.uz/#/p/now-ultra-omega-3-90-sgels" TargetMode="External" Id="rId11" /><Relationship Type="http://schemas.openxmlformats.org/officeDocument/2006/relationships/hyperlink" Target="https://yyd-catalog.uz/#/p/now-lionsmane-5000mg-60" TargetMode="External" Id="rId12" /><Relationship Type="http://schemas.openxmlformats.org/officeDocument/2006/relationships/hyperlink" Target="https://yyd-catalog.uz/#/p/now-clinical-cardio-90-caps" TargetMode="External" Id="rId13" /><Relationship Type="http://schemas.openxmlformats.org/officeDocument/2006/relationships/hyperlink" Target="https://yyd-catalog.uz/#/p/now-tribulus-90-vcaps" TargetMode="External" Id="rId14" /><Relationship Type="http://schemas.openxmlformats.org/officeDocument/2006/relationships/hyperlink" Target="https://yyd-catalog.uz/#/p/now-magnesium-glycinate-180-tabs" TargetMode="External" Id="rId15" /><Relationship Type="http://schemas.openxmlformats.org/officeDocument/2006/relationships/hyperlink" Target="https://yyd-catalog.uz/#/p/now-magnesium-caps-400mg-180" TargetMode="External" Id="rId16" /><Relationship Type="http://schemas.openxmlformats.org/officeDocument/2006/relationships/hyperlink" Target="https://yyd-catalog.uz/#/p/now-magnesium-malate-180-vcaps" TargetMode="External" Id="rId17" /><Relationship Type="http://schemas.openxmlformats.org/officeDocument/2006/relationships/hyperlink" Target="https://yyd-catalog.uz/#/p/now-magnesium-citrate-120-vcaps" TargetMode="External" Id="rId18" /><Relationship Type="http://schemas.openxmlformats.org/officeDocument/2006/relationships/hyperlink" Target="https://yyd-catalog.uz/#/p/now-magnesium-citrate-120-vcaps" TargetMode="External" Id="rId19" /><Relationship Type="http://schemas.openxmlformats.org/officeDocument/2006/relationships/hyperlink" Target="https://yyd-catalog.uz/#/p/now-calcium-magnesium-500-250" TargetMode="External" Id="rId20" /><Relationship Type="http://schemas.openxmlformats.org/officeDocument/2006/relationships/hyperlink" Target="https://yyd-catalog.uz/#/p/now-calcium-citrate-w-min-100-tabs" TargetMode="External" Id="rId21" /><Relationship Type="http://schemas.openxmlformats.org/officeDocument/2006/relationships/hyperlink" Target="https://yyd-catalog.uz/#/p/now-betaine-hcl-648mg-120" TargetMode="External" Id="rId22" /><Relationship Type="http://schemas.openxmlformats.org/officeDocument/2006/relationships/hyperlink" Target="https://yyd-catalog.uz/#/p/now-garcinia-1000mg-120-tabs" TargetMode="External" Id="rId23" /><Relationship Type="http://schemas.openxmlformats.org/officeDocument/2006/relationships/hyperlink" Target="https://yyd-catalog.uz/#/p/now-mega-d3-mk7-5000-180" TargetMode="External" Id="rId24" /><Relationship Type="http://schemas.openxmlformats.org/officeDocument/2006/relationships/hyperlink" Target="https://yyd-catalog.uz/#/p/now-vitamin-d3-k2-1000-45" TargetMode="External" Id="rId25" /><Relationship Type="http://schemas.openxmlformats.org/officeDocument/2006/relationships/hyperlink" Target="https://yyd-catalog.uz/#/p/now-vitamin-d3-2000iu-30-sgels" TargetMode="External" Id="rId26" /><Relationship Type="http://schemas.openxmlformats.org/officeDocument/2006/relationships/hyperlink" Target="https://yyd-catalog.uz/#/p/now-vitamin-d3-2000iu-30-sgels" TargetMode="External" Id="rId27" /><Relationship Type="http://schemas.openxmlformats.org/officeDocument/2006/relationships/hyperlink" Target="https://yyd-catalog.uz/#/p/now-vitamin-d3-2000iu-30-sgels" TargetMode="External" Id="rId28" /><Relationship Type="http://schemas.openxmlformats.org/officeDocument/2006/relationships/hyperlink" Target="https://yyd-catalog.uz/#/p/now-vitamin-d3-5000iu-120-sgels" TargetMode="External" Id="rId29" /><Relationship Type="http://schemas.openxmlformats.org/officeDocument/2006/relationships/hyperlink" Target="https://yyd-catalog.uz/#/p/now-vitamin-d3-5000iu-120-sgels" TargetMode="External" Id="rId30" /><Relationship Type="http://schemas.openxmlformats.org/officeDocument/2006/relationships/hyperlink" Target="https://yyd-catalog.uz/#/p/now-vitamin-d3-5000iu-120-sgels" TargetMode="External" Id="rId31" /><Relationship Type="http://schemas.openxmlformats.org/officeDocument/2006/relationships/hyperlink" Target="https://yyd-catalog.uz/#/p/now-vitamin-d3-10000iu-120-sgels" TargetMode="External" Id="rId32" /><Relationship Type="http://schemas.openxmlformats.org/officeDocument/2006/relationships/hyperlink" Target="https://yyd-catalog.uz/#/p/now-liquid-vitamin-d3-59ml" TargetMode="External" Id="rId33" /><Relationship Type="http://schemas.openxmlformats.org/officeDocument/2006/relationships/hyperlink" Target="https://yyd-catalog.uz/#/p/now-iron-36mg-ferrochel-90" TargetMode="External" Id="rId34" /><Relationship Type="http://schemas.openxmlformats.org/officeDocument/2006/relationships/hyperlink" Target="https://yyd-catalog.uz/#/p/now-inositol-500mg-100-vcaps" TargetMode="External" Id="rId35" /><Relationship Type="http://schemas.openxmlformats.org/officeDocument/2006/relationships/hyperlink" Target="https://yyd-catalog.uz/#/p/now-choline-inositol-100-vcaps" TargetMode="External" Id="rId36" /><Relationship Type="http://schemas.openxmlformats.org/officeDocument/2006/relationships/hyperlink" Target="https://yyd-catalog.uz/#/p/now-selenium-200mcg-90-vcaps" TargetMode="External" Id="rId37" /><Relationship Type="http://schemas.openxmlformats.org/officeDocument/2006/relationships/hyperlink" Target="https://yyd-catalog.uz/#/p/now-selenium-200mcg-90-vcaps" TargetMode="External" Id="rId38" /><Relationship Type="http://schemas.openxmlformats.org/officeDocument/2006/relationships/hyperlink" Target="https://yyd-catalog.uz/#/p/now-lecithin-1200mg-100-sgels" TargetMode="External" Id="rId39" /><Relationship Type="http://schemas.openxmlformats.org/officeDocument/2006/relationships/hyperlink" Target="https://yyd-catalog.uz/#/p/now-sunflower-lecithin-powder-454g" TargetMode="External" Id="rId40" /><Relationship Type="http://schemas.openxmlformats.org/officeDocument/2006/relationships/hyperlink" Target="https://yyd-catalog.uz/#/p/now-zinc-gluconate-50mg-100-tabs" TargetMode="External" Id="rId41" /><Relationship Type="http://schemas.openxmlformats.org/officeDocument/2006/relationships/hyperlink" Target="https://yyd-catalog.uz/#/p/now-zinc-picolinate-50mg-120" TargetMode="External" Id="rId42" /><Relationship Type="http://schemas.openxmlformats.org/officeDocument/2006/relationships/hyperlink" Target="https://yyd-catalog.uz/#/p/now-zinc-picolinate-50mg-120" TargetMode="External" Id="rId43" /><Relationship Type="http://schemas.openxmlformats.org/officeDocument/2006/relationships/hyperlink" Target="https://yyd-catalog.uz/#/p/now-propolis-1500-300mg-100-caps" TargetMode="External" Id="rId44" /><Relationship Type="http://schemas.openxmlformats.org/officeDocument/2006/relationships/hyperlink" Target="https://yyd-catalog.uz/#/p/now-melatonin-3mg-180-vcaps" TargetMode="External" Id="rId45" /><Relationship Type="http://schemas.openxmlformats.org/officeDocument/2006/relationships/hyperlink" Target="https://yyd-catalog.uz/#/p/now-melatonin-5mg-120-tabs" TargetMode="External" Id="rId46" /><Relationship Type="http://schemas.openxmlformats.org/officeDocument/2006/relationships/hyperlink" Target="https://yyd-catalog.uz/#/p/now-melatonin-5mg-120-tabs" TargetMode="External" Id="rId47" /><Relationship Type="http://schemas.openxmlformats.org/officeDocument/2006/relationships/hyperlink" Target="https://yyd-catalog.uz/#/p/now-methyl-b12-1000mcg-250-loz" TargetMode="External" Id="rId48" /><Relationship Type="http://schemas.openxmlformats.org/officeDocument/2006/relationships/hyperlink" Target="https://yyd-catalog.uz/#/p/now-b-50-caps-100-vcaps" TargetMode="External" Id="rId49" /><Relationship Type="http://schemas.openxmlformats.org/officeDocument/2006/relationships/hyperlink" Target="https://yyd-catalog.uz/#/p/now-c-500-rose-hips-100-tabs" TargetMode="External" Id="rId50" /><Relationship Type="http://schemas.openxmlformats.org/officeDocument/2006/relationships/hyperlink" Target="https://yyd-catalog.uz/#/p/now-e-400-da-100-sgels" TargetMode="External" Id="rId51" /><Relationship Type="http://schemas.openxmlformats.org/officeDocument/2006/relationships/hyperlink" Target="https://yyd-catalog.uz/#/p/now-glutathione-250mg-60-vcaps" TargetMode="External" Id="rId52" /><Relationship Type="http://schemas.openxmlformats.org/officeDocument/2006/relationships/hyperlink" Target="https://yyd-catalog.uz/#/p/now-probiotic-10-25-billion-50-vcaps" TargetMode="External" Id="rId53" /><Relationship Type="http://schemas.openxmlformats.org/officeDocument/2006/relationships/hyperlink" Target="https://yyd-catalog.uz/#/p/now-l-arginine-500mg-100-vcaps" TargetMode="External" Id="rId54" /><Relationship Type="http://schemas.openxmlformats.org/officeDocument/2006/relationships/hyperlink" Target="https://yyd-catalog.uz/#/p/now-l-arginine-1000mg-60-tabs" TargetMode="External" Id="rId55" /><Relationship Type="http://schemas.openxmlformats.org/officeDocument/2006/relationships/hyperlink" Target="https://yyd-catalog.uz/#/p/now-l-arginine-powder-454g" TargetMode="External" Id="rId56" /><Relationship Type="http://schemas.openxmlformats.org/officeDocument/2006/relationships/hyperlink" Target="https://yyd-catalog.uz/#/p/now-l-carnitine-tartrate-1000mg" TargetMode="External" Id="rId57" /><Relationship Type="http://schemas.openxmlformats.org/officeDocument/2006/relationships/hyperlink" Target="https://yyd-catalog.uz/#/p/now-taurine-1000mg-100-vcaps" TargetMode="External" Id="rId58" /><Relationship Type="http://schemas.openxmlformats.org/officeDocument/2006/relationships/hyperlink" Target="https://yyd-catalog.uz/#/p/now-chromium-picolinate-200mcg-250" TargetMode="External" Id="rId59" /><Relationship Type="http://schemas.openxmlformats.org/officeDocument/2006/relationships/hyperlink" Target="https://yyd-catalog.uz/#/p/now-chromium-picolinate-200mcg-250" TargetMode="External" Id="rId60" /><Relationship Type="http://schemas.openxmlformats.org/officeDocument/2006/relationships/hyperlink" Target="https://yyd-catalog.uz/#/p/now-milk-thistle-extract-300mg-50" TargetMode="External" Id="rId61" /><Relationship Type="http://schemas.openxmlformats.org/officeDocument/2006/relationships/hyperlink" Target="https://yyd-catalog.uz/#/p/now-silymarin-milk-thistle-turmeric-150mg-60-vcaps" TargetMode="External" Id="rId62" /><Relationship Type="http://schemas.openxmlformats.org/officeDocument/2006/relationships/hyperlink" Target="https://yyd-catalog.uz/#/p/now-collagen-peptides-powder-227g" TargetMode="External" Id="rId63" /><Relationship Type="http://schemas.openxmlformats.org/officeDocument/2006/relationships/hyperlink" Target="https://yyd-catalog.uz/#/p/now-uc-ii-type-2-collagen-40mg" TargetMode="External" Id="rId64" /><Relationship Type="http://schemas.openxmlformats.org/officeDocument/2006/relationships/hyperlink" Target="https://yyd-catalog.uz/#/p/now-uc-ii-type-2-collagen-40mg" TargetMode="External" Id="rId65" /><Relationship Type="http://schemas.openxmlformats.org/officeDocument/2006/relationships/hyperlink" Target="https://yyd-catalog.uz/#/p/now-alpha-lipoic-acid-100mg-60" TargetMode="External" Id="rId66" /><Relationship Type="http://schemas.openxmlformats.org/officeDocument/2006/relationships/hyperlink" Target="https://yyd-catalog.uz/#/p/now-alpha-lipoic-acid-250mg-60" TargetMode="External" Id="rId67" /><Relationship Type="http://schemas.openxmlformats.org/officeDocument/2006/relationships/hyperlink" Target="https://yyd-catalog.uz/#/p/now-alpha-lipoic-acid-600mg-60" TargetMode="External" Id="rId68" /><Relationship Type="http://schemas.openxmlformats.org/officeDocument/2006/relationships/hyperlink" Target="https://yyd-catalog.uz/#/p/now-folic-acid-800mcg-250-tabs" TargetMode="External" Id="rId69" /><Relationship Type="http://schemas.openxmlformats.org/officeDocument/2006/relationships/hyperlink" Target="https://yyd-catalog.uz/#/p/now-5-htp-50mg-vcaps" TargetMode="External" Id="rId70" /><Relationship Type="http://schemas.openxmlformats.org/officeDocument/2006/relationships/hyperlink" Target="https://yyd-catalog.uz/#/p/now-berberine-glucose-support-90" TargetMode="External" Id="rId71" /><Relationship Type="http://schemas.openxmlformats.org/officeDocument/2006/relationships/hyperlink" Target="https://yyd-catalog.uz/#/p/now-gaba-500mg-100-vcaps" TargetMode="External" Id="rId72" /><Relationship Type="http://schemas.openxmlformats.org/officeDocument/2006/relationships/hyperlink" Target="https://yyd-catalog.uz/#/p/now-liquid-chlorophyll-mint-473ml" TargetMode="External" Id="rId73" /><Relationship Type="http://schemas.openxmlformats.org/officeDocument/2006/relationships/hyperlink" Target="https://yyd-catalog.uz/#/p/now-kid-vits-berry-lemonade-120" TargetMode="External" Id="rId74" /><Relationship Type="http://schemas.openxmlformats.org/officeDocument/2006/relationships/hyperlink" Target="https://yyd-catalog.uz/#/p/now-kid-cal-chewable-100-loz" TargetMode="External" Id="rId75" /><Relationship Type="http://schemas.openxmlformats.org/officeDocument/2006/relationships/hyperlink" Target="https://yyd-catalog.uz/#/p/now-kids-elderberry-liquid-237ml" TargetMode="External" Id="rId76" /><Relationship Type="http://schemas.openxmlformats.org/officeDocument/2006/relationships/hyperlink" Target="https://yyd-catalog.uz/#/p/now-psyllium-husk-whole-2" TargetMode="External" Id="rId77" /><Relationship Type="http://schemas.openxmlformats.org/officeDocument/2006/relationships/hyperlink" Target="https://yyd-catalog.uz/#/p/now-psyllium-husk-whole" TargetMode="External" Id="rId78" /><Relationship Type="http://schemas.openxmlformats.org/officeDocument/2006/relationships/hyperlink" Target="https://yyd-catalog.uz/#/p/now-essential-oil-rosemary-30ml" TargetMode="External" Id="rId79" /><Relationship Type="http://schemas.openxmlformats.org/officeDocument/2006/relationships/hyperlink" Target="https://yyd-catalog.uz/#/p/now-essential-oil-tea-tree-30ml" TargetMode="External" Id="rId80" /><Relationship Type="http://schemas.openxmlformats.org/officeDocument/2006/relationships/hyperlink" Target="https://yyd-catalog.uz/#/p/now-essential-oil-eucalyptus-30ml" TargetMode="External" Id="rId81" /><Relationship Type="http://schemas.openxmlformats.org/officeDocument/2006/relationships/hyperlink" Target="https://yyd-catalog.uz/#/p/cgn-gold-c-1000mg-60-vcaps" TargetMode="External" Id="rId82" /><Relationship Type="http://schemas.openxmlformats.org/officeDocument/2006/relationships/hyperlink" Target="https://yyd-catalog.uz/#/p/cgn-vitamin-d3-2000iu-90" TargetMode="External" Id="rId83" /><Relationship Type="http://schemas.openxmlformats.org/officeDocument/2006/relationships/hyperlink" Target="https://yyd-catalog.uz/#/p/cgn-vitamin-d3-5000iu-90" TargetMode="External" Id="rId84" /><Relationship Type="http://schemas.openxmlformats.org/officeDocument/2006/relationships/hyperlink" Target="https://yyd-catalog.uz/#/p/cgn-vitamin-d3-babies-liquid-10ml" TargetMode="External" Id="rId85" /><Relationship Type="http://schemas.openxmlformats.org/officeDocument/2006/relationships/hyperlink" Target="https://yyd-catalog.uz/#/p/cgn-lactobif-5-billion-60-vcaps" TargetMode="External" Id="rId86" /><Relationship Type="http://schemas.openxmlformats.org/officeDocument/2006/relationships/hyperlink" Target="https://yyd-catalog.uz/#/p/cgn-lactobif-30-billion-60-vcaps" TargetMode="External" Id="rId87" /><Relationship Type="http://schemas.openxmlformats.org/officeDocument/2006/relationships/hyperlink" Target="https://yyd-catalog.uz/#/p/cgn-collagenup-206g" TargetMode="External" Id="rId88" /><Relationship Type="http://schemas.openxmlformats.org/officeDocument/2006/relationships/hyperlink" Target="https://yyd-catalog.uz/#/p/np-hema-plex-slow-release-30-tabs" TargetMode="External" Id="rId89" /><Relationship Type="http://schemas.openxmlformats.org/officeDocument/2006/relationships/hyperlink" Target="https://yyd-catalog.uz/#/p/np-hema-plex-iron-fast-acting-60-caps" TargetMode="External" Id="rId90" /><Relationship Type="http://schemas.openxmlformats.org/officeDocument/2006/relationships/hyperlink" Target="https://yyd-catalog.uz/#/p/np-hema-plex-iron-chewables-60" TargetMode="External" Id="rId91" /><Relationship Type="http://schemas.openxmlformats.org/officeDocument/2006/relationships/hyperlink" Target="https://yyd-catalog.uz/#/p/np-hema-plex-liquid-iron-250ml" TargetMode="External" Id="rId92" /><Relationship Type="http://schemas.openxmlformats.org/officeDocument/2006/relationships/hyperlink" Target="https://yyd-catalog.uz/#/p/np-collagen-peptides-294g" TargetMode="External" Id="rId93" /><Relationship Type="http://schemas.openxmlformats.org/officeDocument/2006/relationships/hyperlink" Target="https://yyd-catalog.uz/#/p/np-collagen-peptides-vanilla-364g" TargetMode="External" Id="rId94" /><Relationship Type="http://schemas.openxmlformats.org/officeDocument/2006/relationships/hyperlink" Target="https://yyd-catalog.uz/#/p/np-collagen-peptides-chocolate-378g" TargetMode="External" Id="rId95" /><Relationship Type="http://schemas.openxmlformats.org/officeDocument/2006/relationships/hyperlink" Target="https://yyd-catalog.uz/#/p/np-magkidz-magnesium-cherry-90-tabs" TargetMode="External" Id="rId96" /><Relationship Type="http://schemas.openxmlformats.org/officeDocument/2006/relationships/hyperlink" Target="https://yyd-catalog.uz/#/p/np-magkidz-magnesium-cherry-171g" TargetMode="External" Id="rId97" /><Relationship Type="http://schemas.openxmlformats.org/officeDocument/2006/relationships/hyperlink" Target="https://yyd-catalog.uz/#/p/np-animal-parade-gold-60-tabs" TargetMode="External" Id="rId98" /><Relationship Type="http://schemas.openxmlformats.org/officeDocument/2006/relationships/hyperlink" Target="https://yyd-catalog.uz/#/p/np-animal-parade-multivitamin-90-tabs" TargetMode="External" Id="rId99" /><Relationship Type="http://schemas.openxmlformats.org/officeDocument/2006/relationships/hyperlink" Target="https://yyd-catalog.uz/#/p/np-animal-parade-gold-120-tabs" TargetMode="External" Id="rId100" /><Relationship Type="http://schemas.openxmlformats.org/officeDocument/2006/relationships/hyperlink" Target="https://yyd-catalog.uz/#/p/np-animal-parade-multivitamin-180-tabs" TargetMode="External" Id="rId101" /><Relationship Type="http://schemas.openxmlformats.org/officeDocument/2006/relationships/hyperlink" Target="https://yyd-catalog.uz/#/p/np-animal-parade-watermelon-180-tabs" TargetMode="External" Id="rId102" /><Relationship Type="http://schemas.openxmlformats.org/officeDocument/2006/relationships/hyperlink" Target="https://yyd-catalog.uz/#/p/childlife-liquid-vitamin-c-118ml" TargetMode="External" Id="rId103" /><Relationship Type="http://schemas.openxmlformats.org/officeDocument/2006/relationships/hyperlink" Target="https://yyd-catalog.uz/#/p/childlife-liquid-zinc-plus-118ml" TargetMode="External" Id="rId104" /><Relationship Type="http://schemas.openxmlformats.org/officeDocument/2006/relationships/hyperlink" Target="https://yyd-catalog.uz/#/p/childlife-liquid-multivitamin-237ml" TargetMode="External" Id="rId105" /><Relationship Type="http://schemas.openxmlformats.org/officeDocument/2006/relationships/hyperlink" Target="https://yyd-catalog.uz/#/p/life-extension-two-per-day-60-caps" TargetMode="External" Id="rId106" /><Relationship Type="http://schemas.openxmlformats.org/officeDocument/2006/relationships/hyperlink" Target="https://yyd-catalog.uz/#/p/life-extension-two-per-day-120-caps" TargetMode="External" Id="rId107" /><Relationship Type="http://schemas.openxmlformats.org/officeDocument/2006/relationships/hyperlink" Target="https://yyd-catalog.uz/#/p/life-extension-bioactive-b-complex-60" TargetMode="External" Id="rId108" /><Relationship Type="http://schemas.openxmlformats.org/officeDocument/2006/relationships/hyperlink" Target="https://yyd-catalog.uz/#/p/life-extension-neuro-mag-powder-93g" TargetMode="External" Id="rId109" /><Relationship Type="http://schemas.openxmlformats.org/officeDocument/2006/relationships/hyperlink" Target="https://yyd-catalog.uz/#/p/life-extension-neuro-mag-90-vegcaps" TargetMode="External" Id="rId110" /><Relationship Type="http://schemas.openxmlformats.org/officeDocument/2006/relationships/hyperlink" Target="https://yyd-catalog.uz/#/p/life-extension-inositol-1000mg-360" TargetMode="External" Id="rId111" /><Relationship Type="http://schemas.openxmlformats.org/officeDocument/2006/relationships/hyperlink" Target="https://yyd-catalog.uz/#/p/life-extension-super-selenium-complex-100" TargetMode="External" Id="rId112" /><Relationship Type="http://schemas.openxmlformats.org/officeDocument/2006/relationships/hyperlink" Target="https://yyd-catalog.uz/#/p/natures-answer-liquid-magnesium-480ml" TargetMode="External" Id="rId113" /><Relationship Type="http://schemas.openxmlformats.org/officeDocument/2006/relationships/hyperlink" Target="https://yyd-catalog.uz/#/p/natures-answer-liquid-vitamin-c-240ml" TargetMode="External" Id="rId114" /><Relationship Type="http://schemas.openxmlformats.org/officeDocument/2006/relationships/hyperlink" Target="https://yyd-catalog.uz/#/p/natures-answer-liquid-b-complex-240ml" TargetMode="External" Id="rId115" /><Relationship Type="http://schemas.openxmlformats.org/officeDocument/2006/relationships/hyperlink" Target="https://yyd-catalog.uz/#/p/lifeflo-liquid-iodine-plus-59ml" TargetMode="External" Id="rId116" /><Relationship Type="http://schemas.openxmlformats.org/officeDocument/2006/relationships/hyperlink" Target="https://yyd-catalog.uz/#/p/biomagic-iodine-25ml" TargetMode="External" Id="rId117" /><Relationship Type="http://schemas.openxmlformats.org/officeDocument/2006/relationships/hyperlink" Target="https://yyd-catalog.uz/#/p/biomagic-iodine-selenium-25ml" TargetMode="External" Id="rId118" /><Relationship Type="http://schemas.openxmlformats.org/officeDocument/2006/relationships/hyperlink" Target="https://yyd-catalog.uz/#/p/solaray-magnesium-glycinate-350mg-240" TargetMode="External" Id="rId119" /><Relationship Type="http://schemas.openxmlformats.org/officeDocument/2006/relationships/hyperlink" Target="https://yyd-catalog.uz/#/p/solaray-vitamin-d3-k2-60-vegcaps" TargetMode="External" Id="rId120" /><Relationship Type="http://schemas.openxmlformats.org/officeDocument/2006/relationships/hyperlink" Target="https://yyd-catalog.uz/#/p/ecovita-biotin-5000mcg-60-caps" TargetMode="External" Id="rId121" /><Relationship Type="http://schemas.openxmlformats.org/officeDocument/2006/relationships/hyperlink" Target="https://yyd-catalog.uz/#/p/ecovita-omega-3-epa540-dha360-30" TargetMode="External" Id="rId122" /><Relationship Type="http://schemas.openxmlformats.org/officeDocument/2006/relationships/hyperlink" Target="https://yyd-catalog.uz/#/p/ecovita-omega-3-epa540-dha360-100" TargetMode="External" Id="rId123" /><Relationship Type="http://schemas.openxmlformats.org/officeDocument/2006/relationships/hyperlink" Target="https://yyd-catalog.uz/#/p/ecovita-calcium-citrate-210mg-90" TargetMode="External" Id="rId124" /><Relationship Type="http://schemas.openxmlformats.org/officeDocument/2006/relationships/hyperlink" Target="https://yyd-catalog.uz/#/p/ecovita-magnesium-citrate-b6-60" TargetMode="External" Id="rId125" /><Relationship Type="http://schemas.openxmlformats.org/officeDocument/2006/relationships/hyperlink" Target="https://yyd-catalog.uz/#/p/ecovita-vitamin-d3-2000me-100" TargetMode="External" Id="rId126" /><Relationship Type="http://schemas.openxmlformats.org/officeDocument/2006/relationships/hyperlink" Target="https://yyd-catalog.uz/#/p/ecovita-vitamin-d3-5000me-100" TargetMode="External" Id="rId127" /><Relationship Type="http://schemas.openxmlformats.org/officeDocument/2006/relationships/hyperlink" Target="https://yyd-catalog.uz/#/p/ecovita-vitamin-d3-10000me-100" TargetMode="External" Id="rId128" /><Relationship Type="http://schemas.openxmlformats.org/officeDocument/2006/relationships/hyperlink" Target="https://yyd-catalog.uz/#/p/ecovita-myo-inositol-500mg-100" TargetMode="External" Id="rId129" /><Relationship Type="http://schemas.openxmlformats.org/officeDocument/2006/relationships/hyperlink" Target="https://yyd-catalog.uz/#/p/ecovita-selenium-100mcg-90" TargetMode="External" Id="rId130" /><Relationship Type="http://schemas.openxmlformats.org/officeDocument/2006/relationships/hyperlink" Target="https://yyd-catalog.uz/#/p/ecovita-sunflower-lecithin-1000mg-100" TargetMode="External" Id="rId131" /><Relationship Type="http://schemas.openxmlformats.org/officeDocument/2006/relationships/hyperlink" Target="https://yyd-catalog.uz/#/p/ecovita-type-1-3-collagen-430mg-60" TargetMode="External" Id="rId132" /><Relationship Type="http://schemas.openxmlformats.org/officeDocument/2006/relationships/hyperlink" Target="https://yyd-catalog.uz/#/p/ecovita-l-carnitine-850mg-90" TargetMode="External" Id="rId133" /><Relationship Type="http://schemas.openxmlformats.org/officeDocument/2006/relationships/hyperlink" Target="https://yyd-catalog.uz/#/p/ecovita-glucosamine-chondroitin-msm-120" TargetMode="External" Id="rId134" /><Relationship Type="http://schemas.openxmlformats.org/officeDocument/2006/relationships/hyperlink" Target="https://yyd-catalog.uz/#/p/ecovita-b-complex-60-caps" TargetMode="External" Id="rId135" /><Relationship Type="http://schemas.openxmlformats.org/officeDocument/2006/relationships/hyperlink" Target="https://yyd-catalog.uz/#/p/ecovita-chromium-picolinate-200mcg-60" TargetMode="External" Id="rId136" /><Relationship Type="http://schemas.openxmlformats.org/officeDocument/2006/relationships/hyperlink" Target="https://yyd-catalog.uz/#/p/vita-garden-biotin-5000mcg-30" TargetMode="External" Id="rId137" /><Relationship Type="http://schemas.openxmlformats.org/officeDocument/2006/relationships/hyperlink" Target="https://yyd-catalog.uz/#/p/vita-garden-omega-3-fish-oil-60" TargetMode="External" Id="rId138" /><Relationship Type="http://schemas.openxmlformats.org/officeDocument/2006/relationships/hyperlink" Target="https://yyd-catalog.uz/#/p/vita-garden-magnesium-b6-60" TargetMode="External" Id="rId139" /><Relationship Type="http://schemas.openxmlformats.org/officeDocument/2006/relationships/hyperlink" Target="https://yyd-catalog.uz/#/p/vita-garden-calcium-citrate-210mg-60" TargetMode="External" Id="rId140" /><Relationship Type="http://schemas.openxmlformats.org/officeDocument/2006/relationships/hyperlink" Target="https://yyd-catalog.uz/#/p/vita-garden-vitamin-d3-2000me-60" TargetMode="External" Id="rId141" /><Relationship Type="http://schemas.openxmlformats.org/officeDocument/2006/relationships/hyperlink" Target="https://yyd-catalog.uz/#/p/vita-garden-myo-inositol-500mg-60" TargetMode="External" Id="rId142" /><Relationship Type="http://schemas.openxmlformats.org/officeDocument/2006/relationships/hyperlink" Target="https://yyd-catalog.uz/#/p/vita-garden-selenium-100mcg-60" TargetMode="External" Id="rId143" /><Relationship Type="http://schemas.openxmlformats.org/officeDocument/2006/relationships/drawing" Target="/xl/drawings/drawing1.xml" Id="rId1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4"/>
  <sheetViews>
    <sheetView tabSelected="1" zoomScale="91" zoomScaleNormal="91" workbookViewId="0">
      <selection activeCell="A35" sqref="A35:XFD35"/>
    </sheetView>
  </sheetViews>
  <sheetFormatPr baseColWidth="8" defaultColWidth="10.42578125" defaultRowHeight="13.8" outlineLevelRow="3"/>
  <cols>
    <col width="6" customWidth="1" style="1" min="1" max="1"/>
    <col width="11.28515625" customWidth="1" style="23" min="2" max="2"/>
    <col width="103.28515625" customWidth="1" style="93" min="3" max="3"/>
    <col width="15.42578125" customWidth="1" style="74" min="4" max="4"/>
    <col width="11.28515625" customWidth="1" style="2" min="5" max="5"/>
    <col width="14.140625" customWidth="1" style="3" min="6" max="6"/>
    <col width="23.5703125" customWidth="1" style="3" min="7" max="7"/>
    <col width="27.85546875" customWidth="1" style="3" min="8" max="8"/>
    <col width="23.140625" customWidth="1" style="3" min="9" max="9"/>
    <col width="16.140625" customWidth="1" style="2" min="10" max="10"/>
    <col width="2.7109375" customWidth="1" style="1" min="11" max="11"/>
    <col width="12.140625" customWidth="1" style="166" min="12" max="12"/>
    <col width="19.42578125" customWidth="1" style="2" min="13" max="13"/>
    <col width="54" customWidth="1" style="1" min="14" max="14"/>
    <col width="10.42578125" customWidth="1" style="1" min="15" max="16384"/>
  </cols>
  <sheetData>
    <row r="1" ht="46.8" customHeight="1" s="9">
      <c r="A1" s="164" t="inlineStr">
        <is>
          <t>"YOSHLIK-YU"  Distribution</t>
        </is>
      </c>
      <c r="B1" s="167" t="n"/>
      <c r="C1" s="168" t="n"/>
      <c r="F1" s="73" t="n"/>
      <c r="L1" s="169" t="n"/>
      <c r="M1" s="170" t="n"/>
    </row>
    <row r="2" ht="70.2" customHeight="1" s="9">
      <c r="A2" s="95" t="inlineStr">
        <is>
          <t>№</t>
        </is>
      </c>
      <c r="B2" s="95" t="inlineStr">
        <is>
          <t>Бренд</t>
        </is>
      </c>
      <c r="C2" s="95" t="inlineStr">
        <is>
          <t>Номенклатура</t>
        </is>
      </c>
      <c r="D2" s="96" t="inlineStr">
        <is>
          <t>ЦЕНА с НДС</t>
        </is>
      </c>
      <c r="E2" s="95" t="inlineStr">
        <is>
          <t>Кол-во в кор</t>
        </is>
      </c>
      <c r="F2" s="97" t="inlineStr">
        <is>
          <t>Срок год-ти лет</t>
        </is>
      </c>
      <c r="G2" s="97" t="inlineStr">
        <is>
          <t>Код ТН ВЭД</t>
        </is>
      </c>
      <c r="H2" s="97" t="inlineStr">
        <is>
          <t>Код  ИКПУ</t>
        </is>
      </c>
      <c r="I2" s="97" t="inlineStr">
        <is>
          <t>Штрих-код индивидуальной упаковки</t>
        </is>
      </c>
      <c r="J2" s="95" t="inlineStr">
        <is>
          <t>Комментарий</t>
        </is>
      </c>
      <c r="K2" s="94" t="n"/>
      <c r="L2" s="171" t="inlineStr">
        <is>
          <t>Заказ в шт.</t>
        </is>
      </c>
      <c r="M2" s="95" t="inlineStr">
        <is>
          <t>Сумма</t>
        </is>
      </c>
    </row>
    <row r="3" ht="22.8" customFormat="1" customHeight="1" s="29">
      <c r="A3" s="24" t="n"/>
      <c r="B3" s="17" t="n"/>
      <c r="C3" s="83" t="inlineStr">
        <is>
          <t>Витамины БАД NOW FOODS  (США)</t>
        </is>
      </c>
      <c r="D3" s="75" t="n"/>
      <c r="E3" s="25" t="n"/>
      <c r="F3" s="26" t="n"/>
      <c r="G3" s="26" t="n"/>
      <c r="H3" s="26" t="n"/>
      <c r="I3" s="26" t="n"/>
      <c r="J3" s="25" t="n"/>
      <c r="K3" s="27" t="n"/>
      <c r="L3" s="172" t="n"/>
      <c r="M3" s="172" t="n"/>
    </row>
    <row r="4" ht="15.6" customFormat="1" customHeight="1" s="7">
      <c r="A4" s="5" t="n">
        <v>1</v>
      </c>
      <c r="B4" s="17" t="inlineStr">
        <is>
          <t>N F</t>
        </is>
      </c>
      <c r="C4" s="173" t="inlineStr">
        <is>
          <t>Витамин A 10000 МЕ (7500 мкг) 100 софтгелей</t>
        </is>
      </c>
      <c r="D4" s="76" t="n">
        <v>87000</v>
      </c>
      <c r="E4" s="54" t="n">
        <v>12</v>
      </c>
      <c r="F4" s="55" t="inlineStr">
        <is>
          <t xml:space="preserve">3 года </t>
        </is>
      </c>
      <c r="G4" s="174" t="n">
        <v>2106909803</v>
      </c>
      <c r="H4" s="174" t="n">
        <v>2936001013000000</v>
      </c>
      <c r="I4" s="174" t="n">
        <v>733739003300</v>
      </c>
      <c r="J4" s="57" t="inlineStr">
        <is>
          <t>в наличии</t>
        </is>
      </c>
      <c r="K4" s="6" t="n"/>
      <c r="L4" s="175" t="n"/>
      <c r="M4" s="176">
        <f>L4*D4</f>
        <v/>
      </c>
    </row>
    <row r="5" ht="15.6" customFormat="1" customHeight="1" s="7">
      <c r="A5" s="5" t="n">
        <v>2</v>
      </c>
      <c r="B5" s="17" t="inlineStr">
        <is>
          <t>N F</t>
        </is>
      </c>
      <c r="C5" s="173" t="inlineStr">
        <is>
          <t>Витамин A 25000 МЕ (7500 мкг) 100 софтгелей</t>
        </is>
      </c>
      <c r="D5" s="76" t="n">
        <v>107000</v>
      </c>
      <c r="E5" s="54" t="n">
        <v>12</v>
      </c>
      <c r="F5" s="55" t="inlineStr">
        <is>
          <t xml:space="preserve">3 года </t>
        </is>
      </c>
      <c r="G5" s="174" t="n">
        <v>2106909803</v>
      </c>
      <c r="H5" s="174" t="n">
        <v>2936001013000000</v>
      </c>
      <c r="I5" s="174" t="n">
        <v>733739003409</v>
      </c>
      <c r="J5" s="57" t="inlineStr">
        <is>
          <t>в наличии</t>
        </is>
      </c>
      <c r="K5" s="6" t="n"/>
      <c r="L5" s="175" t="n"/>
      <c r="M5" s="176">
        <f>L5*D5</f>
        <v/>
      </c>
    </row>
    <row r="6" ht="15.6" customFormat="1" customHeight="1" s="7">
      <c r="A6" s="5" t="n">
        <v>3</v>
      </c>
      <c r="B6" s="17" t="inlineStr">
        <is>
          <t>N F</t>
        </is>
      </c>
      <c r="C6" s="173" t="inlineStr">
        <is>
          <t>Биотин (Витамин B-7) 5000 мкг 60 капсул</t>
        </is>
      </c>
      <c r="D6" s="76" t="n">
        <v>101000</v>
      </c>
      <c r="E6" s="54" t="n">
        <v>12</v>
      </c>
      <c r="F6" s="55" t="inlineStr">
        <is>
          <t xml:space="preserve">3 года </t>
        </is>
      </c>
      <c r="G6" s="174" t="n">
        <v>2106909803</v>
      </c>
      <c r="H6" s="174" t="n">
        <v>2936001013000000</v>
      </c>
      <c r="I6" s="174" t="n">
        <v>733739004710</v>
      </c>
      <c r="J6" s="57" t="inlineStr">
        <is>
          <t>в наличии</t>
        </is>
      </c>
      <c r="K6" s="6" t="n"/>
      <c r="L6" s="175" t="n"/>
      <c r="M6" s="176">
        <f>L6*D6</f>
        <v/>
      </c>
    </row>
    <row r="7" ht="15.6" customFormat="1" customHeight="1" s="7">
      <c r="A7" s="5" t="n">
        <v>4</v>
      </c>
      <c r="B7" s="17" t="inlineStr">
        <is>
          <t>N F</t>
        </is>
      </c>
      <c r="C7" s="173" t="inlineStr">
        <is>
          <t>Биотин (Витамин B-7) 5000 мкг 120 капсул</t>
        </is>
      </c>
      <c r="D7" s="76" t="n">
        <v>169000</v>
      </c>
      <c r="E7" s="54" t="n">
        <v>12</v>
      </c>
      <c r="F7" s="55" t="inlineStr">
        <is>
          <t xml:space="preserve">3 года </t>
        </is>
      </c>
      <c r="G7" s="174" t="n">
        <v>2106909803</v>
      </c>
      <c r="H7" s="174" t="n">
        <v>2936001013000000</v>
      </c>
      <c r="I7" s="174" t="n">
        <v>733739004741</v>
      </c>
      <c r="J7" s="57" t="inlineStr">
        <is>
          <t>в наличии</t>
        </is>
      </c>
      <c r="K7" s="6" t="n"/>
      <c r="L7" s="175" t="n"/>
      <c r="M7" s="176">
        <f>L7*D7</f>
        <v/>
      </c>
    </row>
    <row r="8" ht="15.6" customFormat="1" customHeight="1" s="7">
      <c r="A8" s="5" t="n">
        <v>5</v>
      </c>
      <c r="B8" s="17" t="inlineStr">
        <is>
          <t>N F</t>
        </is>
      </c>
      <c r="C8" s="173" t="inlineStr">
        <is>
          <t>Биотин (Витамин B-7) 10, 000 мкг 120 капсул</t>
        </is>
      </c>
      <c r="D8" s="76" t="n">
        <v>255000</v>
      </c>
      <c r="E8" s="54" t="n">
        <v>12</v>
      </c>
      <c r="F8" s="55" t="inlineStr">
        <is>
          <t xml:space="preserve">3 года </t>
        </is>
      </c>
      <c r="G8" s="174" t="n">
        <v>2106909803</v>
      </c>
      <c r="H8" s="174" t="n">
        <v>2936001013000000</v>
      </c>
      <c r="I8" s="174" t="n">
        <v>733739004796</v>
      </c>
      <c r="J8" s="57" t="inlineStr">
        <is>
          <t>в наличии</t>
        </is>
      </c>
      <c r="K8" s="6" t="n"/>
      <c r="L8" s="175" t="n"/>
      <c r="M8" s="176">
        <f>L8*D8</f>
        <v/>
      </c>
    </row>
    <row r="9" ht="15.6" customFormat="1" customHeight="1" s="7">
      <c r="A9" s="5" t="n">
        <v>6</v>
      </c>
      <c r="B9" s="17" t="inlineStr">
        <is>
          <t>N F</t>
        </is>
      </c>
      <c r="C9" s="173" t="inlineStr">
        <is>
          <t>Рыбий жир с омега-3 1000 мг 30 капсул (1000 мг в 1 капсуле)</t>
        </is>
      </c>
      <c r="D9" s="76" t="n">
        <v>65000</v>
      </c>
      <c r="E9" s="54" t="n">
        <v>12</v>
      </c>
      <c r="F9" s="55" t="inlineStr">
        <is>
          <t xml:space="preserve">3 года </t>
        </is>
      </c>
      <c r="G9" s="174" t="n">
        <v>2106909803</v>
      </c>
      <c r="H9" s="174" t="n">
        <v>2936001013000000</v>
      </c>
      <c r="I9" s="174" t="n">
        <v>733739016492</v>
      </c>
      <c r="J9" s="57" t="inlineStr">
        <is>
          <t>в наличии</t>
        </is>
      </c>
      <c r="K9" s="6" t="n"/>
      <c r="L9" s="175" t="n"/>
      <c r="M9" s="176">
        <f>L9*D9</f>
        <v/>
      </c>
    </row>
    <row r="10" ht="15.6" customFormat="1" customHeight="1" s="7">
      <c r="A10" s="5" t="n">
        <v>7</v>
      </c>
      <c r="B10" s="17" t="inlineStr">
        <is>
          <t>N F</t>
        </is>
      </c>
      <c r="C10" s="173" t="inlineStr">
        <is>
          <t>Рыбий жир с омега-3 1000 мг 100 капсул (1000 мг в 1 капсуле)</t>
        </is>
      </c>
      <c r="D10" s="76" t="n">
        <v>138000</v>
      </c>
      <c r="E10" s="54" t="n">
        <v>12</v>
      </c>
      <c r="F10" s="55" t="inlineStr">
        <is>
          <t xml:space="preserve">3 года </t>
        </is>
      </c>
      <c r="G10" s="174" t="n">
        <v>2106909803</v>
      </c>
      <c r="H10" s="174" t="n">
        <v>2936001013000000</v>
      </c>
      <c r="I10" s="174" t="n">
        <v>733739016508</v>
      </c>
      <c r="J10" s="57" t="inlineStr">
        <is>
          <t>в наличии</t>
        </is>
      </c>
      <c r="K10" s="6" t="n"/>
      <c r="L10" s="175" t="n"/>
      <c r="M10" s="176">
        <f>L10*D10</f>
        <v/>
      </c>
    </row>
    <row r="11" ht="15.6" customFormat="1" customHeight="1" s="7">
      <c r="A11" s="5" t="n">
        <v>8</v>
      </c>
      <c r="B11" s="17" t="inlineStr">
        <is>
          <t>N F</t>
        </is>
      </c>
      <c r="C11" s="173" t="inlineStr">
        <is>
          <t>Рыбий жир с омега-3 1000 мг 200 капсул (1000 мг в 1 капсуле)</t>
        </is>
      </c>
      <c r="D11" s="76" t="n">
        <v>248000</v>
      </c>
      <c r="E11" s="54" t="n">
        <v>12</v>
      </c>
      <c r="F11" s="55" t="inlineStr">
        <is>
          <t xml:space="preserve">3 года </t>
        </is>
      </c>
      <c r="G11" s="174" t="n">
        <v>2106909803</v>
      </c>
      <c r="H11" s="174" t="n">
        <v>2936001013000000</v>
      </c>
      <c r="I11" s="174" t="n">
        <v>733739016522</v>
      </c>
      <c r="J11" s="57" t="inlineStr">
        <is>
          <t>в наличии</t>
        </is>
      </c>
      <c r="K11" s="60" t="n"/>
      <c r="L11" s="175" t="n"/>
      <c r="M11" s="176">
        <f>L11*D11</f>
        <v/>
      </c>
      <c r="N11" s="11" t="n"/>
    </row>
    <row r="12" ht="15.6" customFormat="1" customHeight="1" s="7">
      <c r="A12" s="5" t="n">
        <v>9</v>
      </c>
      <c r="B12" s="17" t="inlineStr">
        <is>
          <t>N F</t>
        </is>
      </c>
      <c r="C12" s="173" t="inlineStr">
        <is>
          <t>Рыбий жир с омега-3 1000 мг 500 капсул (1000 мг в 1 капсуле)</t>
        </is>
      </c>
      <c r="D12" s="76" t="n">
        <v>562000</v>
      </c>
      <c r="E12" s="54" t="n">
        <v>12</v>
      </c>
      <c r="F12" s="55" t="inlineStr">
        <is>
          <t xml:space="preserve">3 года </t>
        </is>
      </c>
      <c r="G12" s="174" t="n">
        <v>2106909803</v>
      </c>
      <c r="H12" s="174" t="n">
        <v>2936001013000000</v>
      </c>
      <c r="I12" s="177" t="n">
        <v>733739016539</v>
      </c>
      <c r="J12" s="57" t="inlineStr">
        <is>
          <t>в наличии</t>
        </is>
      </c>
      <c r="K12" s="60" t="n"/>
      <c r="L12" s="175" t="n"/>
      <c r="M12" s="176">
        <f>L12*D12</f>
        <v/>
      </c>
      <c r="N12" s="11" t="n"/>
    </row>
    <row r="13" ht="15.6" customFormat="1" customHeight="1" s="11">
      <c r="A13" s="5" t="n">
        <v>10</v>
      </c>
      <c r="B13" s="17" t="inlineStr">
        <is>
          <t>N F</t>
        </is>
      </c>
      <c r="C13" s="173" t="inlineStr">
        <is>
          <t>Рыбий жир с омега-3-6-9 1000 мг 100 капсул (1000 мг в 1 капсуле)</t>
        </is>
      </c>
      <c r="D13" s="76" t="n">
        <v>200000</v>
      </c>
      <c r="E13" s="54" t="n">
        <v>12</v>
      </c>
      <c r="F13" s="55" t="inlineStr">
        <is>
          <t xml:space="preserve">3 года </t>
        </is>
      </c>
      <c r="G13" s="174" t="n">
        <v>2106909803</v>
      </c>
      <c r="H13" s="174" t="n">
        <v>2936001013000000</v>
      </c>
      <c r="I13" s="174" t="n">
        <v>733739018359</v>
      </c>
      <c r="J13" s="57" t="inlineStr">
        <is>
          <t>в наличии</t>
        </is>
      </c>
      <c r="K13" s="61" t="n"/>
      <c r="L13" s="175" t="n"/>
      <c r="M13" s="176">
        <f>L13*D13</f>
        <v/>
      </c>
      <c r="N13" s="62" t="n"/>
    </row>
    <row r="14" ht="15.6" customFormat="1" customHeight="1" s="62">
      <c r="A14" s="5" t="n">
        <v>11</v>
      </c>
      <c r="B14" s="17" t="inlineStr">
        <is>
          <t>N F</t>
        </is>
      </c>
      <c r="C14" s="178" t="inlineStr">
        <is>
          <t>Ультра омега-3, рыбий жир 90 капсул</t>
        </is>
      </c>
      <c r="D14" s="76" t="n">
        <v>305000</v>
      </c>
      <c r="E14" s="54" t="n">
        <v>12</v>
      </c>
      <c r="F14" s="55" t="inlineStr">
        <is>
          <t xml:space="preserve">4 года </t>
        </is>
      </c>
      <c r="G14" s="174" t="n">
        <v>2106909803</v>
      </c>
      <c r="H14" s="174" t="n">
        <v>2936001013000000</v>
      </c>
      <c r="I14" s="174" t="n">
        <v>733739016614</v>
      </c>
      <c r="J14" s="57" t="inlineStr">
        <is>
          <t>в наличии</t>
        </is>
      </c>
      <c r="K14" s="6" t="n"/>
      <c r="L14" s="175" t="n"/>
      <c r="M14" s="176">
        <f>L14*D14</f>
        <v/>
      </c>
      <c r="N14" s="7" t="n"/>
    </row>
    <row r="15" ht="15.6" customFormat="1" customHeight="1" s="62">
      <c r="A15" s="5" t="n">
        <v>12</v>
      </c>
      <c r="B15" s="17" t="inlineStr">
        <is>
          <t>N F</t>
        </is>
      </c>
      <c r="C15" s="178" t="inlineStr">
        <is>
          <t>Ежовик гребенчатый 500 мг (Lion's Mane)  60 капсул</t>
        </is>
      </c>
      <c r="D15" s="76" t="n">
        <v>285000</v>
      </c>
      <c r="E15" s="54" t="n">
        <v>12</v>
      </c>
      <c r="F15" s="55" t="inlineStr">
        <is>
          <t xml:space="preserve">4 года </t>
        </is>
      </c>
      <c r="G15" s="174" t="n">
        <v>2106909803</v>
      </c>
      <c r="H15" s="174" t="n">
        <v>2936001013000000</v>
      </c>
      <c r="I15" s="174" t="n">
        <v>733739047892</v>
      </c>
      <c r="J15" s="57" t="inlineStr">
        <is>
          <t>в наличии</t>
        </is>
      </c>
      <c r="K15" s="6" t="n"/>
      <c r="L15" s="175" t="n"/>
      <c r="M15" s="176">
        <f>L15*D15</f>
        <v/>
      </c>
      <c r="N15" s="7" t="n"/>
    </row>
    <row r="16" ht="15.6" customFormat="1" customHeight="1" s="7">
      <c r="A16" s="5" t="n">
        <v>13</v>
      </c>
      <c r="B16" s="17" t="inlineStr">
        <is>
          <t>N F</t>
        </is>
      </c>
      <c r="C16" s="178" t="inlineStr">
        <is>
          <t>Clinical Cardio, Поддержка сердечно-сосудистой системы 90 капсул</t>
        </is>
      </c>
      <c r="D16" s="76" t="n">
        <v>460000</v>
      </c>
      <c r="E16" s="54" t="n">
        <v>12</v>
      </c>
      <c r="F16" s="55" t="inlineStr">
        <is>
          <t xml:space="preserve">2 года </t>
        </is>
      </c>
      <c r="G16" s="174" t="n">
        <v>2106909803</v>
      </c>
      <c r="H16" s="174" t="n">
        <v>2936001013000000</v>
      </c>
      <c r="I16" s="174" t="n">
        <v>733739033833</v>
      </c>
      <c r="J16" s="57" t="inlineStr">
        <is>
          <t>в наличии</t>
        </is>
      </c>
      <c r="K16" s="6" t="n"/>
      <c r="L16" s="175" t="n"/>
      <c r="M16" s="176">
        <f>L16*D16</f>
        <v/>
      </c>
    </row>
    <row r="17" ht="15.6" customFormat="1" customHeight="1" s="7">
      <c r="A17" s="5" t="n">
        <v>14</v>
      </c>
      <c r="B17" s="17" t="inlineStr">
        <is>
          <t>N F</t>
        </is>
      </c>
      <c r="C17" s="173" t="inlineStr">
        <is>
          <t>Якорцы Sports TRIBULUS, 1000 мг,  90 таблеток</t>
        </is>
      </c>
      <c r="D17" s="76" t="n">
        <v>262000</v>
      </c>
      <c r="E17" s="54" t="n">
        <v>12</v>
      </c>
      <c r="F17" s="55" t="inlineStr">
        <is>
          <t xml:space="preserve">5 года </t>
        </is>
      </c>
      <c r="G17" s="174" t="n">
        <v>2106909803</v>
      </c>
      <c r="H17" s="174" t="n">
        <v>2936001013000000</v>
      </c>
      <c r="I17" s="174" t="n">
        <v>733739021717</v>
      </c>
      <c r="J17" s="57" t="inlineStr">
        <is>
          <t>в наличии</t>
        </is>
      </c>
      <c r="K17" s="60" t="n"/>
      <c r="L17" s="175" t="n"/>
      <c r="M17" s="176">
        <f>L17*D17</f>
        <v/>
      </c>
      <c r="N17" s="11" t="n"/>
    </row>
    <row r="18" ht="15.6" customFormat="1" customHeight="1" s="7">
      <c r="A18" s="5" t="n">
        <v>15</v>
      </c>
      <c r="B18" s="17" t="inlineStr">
        <is>
          <t>N F</t>
        </is>
      </c>
      <c r="C18" s="178" t="inlineStr">
        <is>
          <t>Глицинат магния, 180 таблеток</t>
        </is>
      </c>
      <c r="D18" s="76" t="n">
        <v>379000</v>
      </c>
      <c r="E18" s="54" t="n">
        <v>12</v>
      </c>
      <c r="F18" s="55" t="inlineStr">
        <is>
          <t xml:space="preserve">3 года </t>
        </is>
      </c>
      <c r="G18" s="174" t="n">
        <v>2106909803</v>
      </c>
      <c r="H18" s="174" t="n">
        <v>2936001013000000</v>
      </c>
      <c r="I18" s="174" t="n">
        <v>733739012890</v>
      </c>
      <c r="J18" s="57" t="inlineStr">
        <is>
          <t>в наличии</t>
        </is>
      </c>
      <c r="K18" s="6" t="n"/>
      <c r="L18" s="175" t="n"/>
      <c r="M18" s="176">
        <f>L18*D18</f>
        <v/>
      </c>
    </row>
    <row r="19" ht="15.6" customFormat="1" customHeight="1" s="7">
      <c r="A19" s="5" t="n">
        <v>16</v>
      </c>
      <c r="B19" s="17" t="inlineStr">
        <is>
          <t>N F</t>
        </is>
      </c>
      <c r="C19" s="178" t="inlineStr">
        <is>
          <t>Магний в капсулах, 400 мг  180 растительных капсул</t>
        </is>
      </c>
      <c r="D19" s="76" t="n">
        <v>276000</v>
      </c>
      <c r="E19" s="54" t="n">
        <v>12</v>
      </c>
      <c r="F19" s="55" t="inlineStr">
        <is>
          <t xml:space="preserve">5 года </t>
        </is>
      </c>
      <c r="G19" s="174" t="n">
        <v>2106909803</v>
      </c>
      <c r="H19" s="174" t="n">
        <v>2936001013000000</v>
      </c>
      <c r="I19" s="174" t="n">
        <v>733739012838</v>
      </c>
      <c r="J19" s="57" t="inlineStr">
        <is>
          <t>в наличии</t>
        </is>
      </c>
      <c r="K19" s="60" t="n"/>
      <c r="L19" s="175" t="n"/>
      <c r="M19" s="176">
        <f>L19*D19</f>
        <v/>
      </c>
      <c r="N19" s="11" t="n"/>
    </row>
    <row r="20" ht="15.6" customFormat="1" customHeight="1" s="7">
      <c r="A20" s="5" t="n">
        <v>17</v>
      </c>
      <c r="B20" s="17" t="inlineStr">
        <is>
          <t>N F</t>
        </is>
      </c>
      <c r="C20" s="178" t="inlineStr">
        <is>
          <t>Малат магния 1000 мг, 180 таблеток</t>
        </is>
      </c>
      <c r="D20" s="76" t="n">
        <v>335000</v>
      </c>
      <c r="E20" s="54" t="n">
        <v>12</v>
      </c>
      <c r="F20" s="55" t="inlineStr">
        <is>
          <t xml:space="preserve">5 года </t>
        </is>
      </c>
      <c r="G20" s="174" t="n">
        <v>2106909803</v>
      </c>
      <c r="H20" s="174" t="n">
        <v>2936001013000000</v>
      </c>
      <c r="I20" s="174" t="n">
        <v>733739013002</v>
      </c>
      <c r="J20" s="57" t="inlineStr">
        <is>
          <t>в наличии</t>
        </is>
      </c>
      <c r="K20" s="6" t="n"/>
      <c r="L20" s="175" t="n"/>
      <c r="M20" s="176">
        <f>L20*D20</f>
        <v/>
      </c>
    </row>
    <row r="21" ht="15.6" customFormat="1" customHeight="1" s="11">
      <c r="A21" s="5" t="n">
        <v>18</v>
      </c>
      <c r="B21" s="17" t="inlineStr">
        <is>
          <t>N F</t>
        </is>
      </c>
      <c r="C21" s="178" t="inlineStr">
        <is>
          <t>Цитрат магния  60 вегетарианских капсул</t>
        </is>
      </c>
      <c r="D21" s="76" t="n">
        <v>163000</v>
      </c>
      <c r="E21" s="54" t="n">
        <v>12</v>
      </c>
      <c r="F21" s="55" t="inlineStr">
        <is>
          <t xml:space="preserve">2 года </t>
        </is>
      </c>
      <c r="G21" s="174" t="n">
        <v>2106909803</v>
      </c>
      <c r="H21" s="174" t="n">
        <v>2936001013000000</v>
      </c>
      <c r="I21" s="174" t="n">
        <v>733739012913</v>
      </c>
      <c r="J21" s="57" t="inlineStr">
        <is>
          <t>в наличии</t>
        </is>
      </c>
      <c r="K21" s="60" t="n"/>
      <c r="L21" s="175" t="n"/>
      <c r="M21" s="176">
        <f>L21*D21</f>
        <v/>
      </c>
    </row>
    <row r="22" ht="15.6" customFormat="1" customHeight="1" s="11">
      <c r="A22" s="5" t="n">
        <v>19</v>
      </c>
      <c r="B22" s="17" t="inlineStr">
        <is>
          <t>N F</t>
        </is>
      </c>
      <c r="C22" s="178" t="inlineStr">
        <is>
          <t>Цитрат магния  120 вегетарианских капсул</t>
        </is>
      </c>
      <c r="D22" s="76" t="n">
        <v>241000</v>
      </c>
      <c r="E22" s="54" t="n">
        <v>12</v>
      </c>
      <c r="F22" s="55" t="inlineStr">
        <is>
          <t xml:space="preserve">2 года </t>
        </is>
      </c>
      <c r="G22" s="174" t="n">
        <v>2106909803</v>
      </c>
      <c r="H22" s="174" t="n">
        <v>2936001013000000</v>
      </c>
      <c r="I22" s="174" t="n">
        <v>733739012944</v>
      </c>
      <c r="J22" s="57" t="inlineStr">
        <is>
          <t>в наличии</t>
        </is>
      </c>
      <c r="K22" s="60" t="n"/>
      <c r="L22" s="175" t="n"/>
      <c r="M22" s="176">
        <f>L22*D22</f>
        <v/>
      </c>
    </row>
    <row r="23" ht="15.6" customFormat="1" customHeight="1" s="11">
      <c r="A23" s="5" t="n">
        <v>20</v>
      </c>
      <c r="B23" s="17" t="inlineStr">
        <is>
          <t>N F</t>
        </is>
      </c>
      <c r="C23" s="178" t="inlineStr">
        <is>
          <t>Кальций и магний 500/250 мг 100 таблеток</t>
        </is>
      </c>
      <c r="D23" s="76" t="n">
        <v>172000</v>
      </c>
      <c r="E23" s="54" t="n">
        <v>12</v>
      </c>
      <c r="F23" s="55" t="inlineStr">
        <is>
          <t xml:space="preserve">5 года </t>
        </is>
      </c>
      <c r="G23" s="174" t="n">
        <v>2106909803</v>
      </c>
      <c r="H23" s="174" t="n">
        <v>2936001013000000</v>
      </c>
      <c r="I23" s="174" t="n">
        <v>733739012708</v>
      </c>
      <c r="J23" s="57" t="inlineStr">
        <is>
          <t>в наличии</t>
        </is>
      </c>
      <c r="K23" s="6" t="n"/>
      <c r="L23" s="175" t="n"/>
      <c r="M23" s="176">
        <f>L23*D23</f>
        <v/>
      </c>
      <c r="N23" s="7" t="n"/>
    </row>
    <row r="24" ht="15.6" customFormat="1" customHeight="1" s="7">
      <c r="A24" s="5" t="n">
        <v>21</v>
      </c>
      <c r="B24" s="17" t="inlineStr">
        <is>
          <t>N F</t>
        </is>
      </c>
      <c r="C24" s="178" t="inlineStr">
        <is>
          <t>Цитрат Кальция с витамином D-2, 100 таблекток</t>
        </is>
      </c>
      <c r="D24" s="76" t="n">
        <v>213000</v>
      </c>
      <c r="E24" s="54" t="n">
        <v>12</v>
      </c>
      <c r="F24" s="55" t="inlineStr">
        <is>
          <t xml:space="preserve">2 года </t>
        </is>
      </c>
      <c r="G24" s="174" t="n">
        <v>2106909803</v>
      </c>
      <c r="H24" s="174" t="n">
        <v>2936001013000000</v>
      </c>
      <c r="I24" s="174" t="n">
        <v>733739012302</v>
      </c>
      <c r="J24" s="57" t="inlineStr">
        <is>
          <t>в наличии</t>
        </is>
      </c>
      <c r="K24" s="6" t="n"/>
      <c r="L24" s="175" t="n"/>
      <c r="M24" s="176">
        <f>L24*D24</f>
        <v/>
      </c>
    </row>
    <row r="25" ht="15.6" customFormat="1" customHeight="1" s="7">
      <c r="A25" s="5" t="n">
        <v>22</v>
      </c>
      <c r="B25" s="17" t="inlineStr">
        <is>
          <t>N F</t>
        </is>
      </c>
      <c r="C25" s="178" t="inlineStr">
        <is>
          <t>Гидрохлорид бетаина, 648 мг, 120   капсул</t>
        </is>
      </c>
      <c r="D25" s="76" t="n">
        <v>289000</v>
      </c>
      <c r="E25" s="54" t="n">
        <v>12</v>
      </c>
      <c r="F25" s="55" t="inlineStr">
        <is>
          <t xml:space="preserve">4 года </t>
        </is>
      </c>
      <c r="G25" s="174" t="n">
        <v>2106909803</v>
      </c>
      <c r="H25" s="174" t="n">
        <v>2936001013000000</v>
      </c>
      <c r="I25" s="174" t="n">
        <v>733739029386</v>
      </c>
      <c r="J25" s="57" t="inlineStr">
        <is>
          <t>в наличии</t>
        </is>
      </c>
      <c r="K25" s="6" t="n"/>
      <c r="L25" s="175" t="n"/>
      <c r="M25" s="176">
        <f>L25*D25</f>
        <v/>
      </c>
    </row>
    <row r="26" ht="15.6" customFormat="1" customHeight="1" s="7">
      <c r="A26" s="5" t="n">
        <v>23</v>
      </c>
      <c r="B26" s="17" t="inlineStr">
        <is>
          <t>N F</t>
        </is>
      </c>
      <c r="C26" s="178" t="inlineStr">
        <is>
          <t>Гарциния, 1000 мг  120 таблеток</t>
        </is>
      </c>
      <c r="D26" s="76" t="n">
        <v>340800</v>
      </c>
      <c r="E26" s="54" t="n">
        <v>12</v>
      </c>
      <c r="F26" s="55" t="inlineStr">
        <is>
          <t xml:space="preserve">3 года </t>
        </is>
      </c>
      <c r="G26" s="174" t="n">
        <v>2106909803</v>
      </c>
      <c r="H26" s="174" t="n">
        <v>2936001013000000</v>
      </c>
      <c r="I26" s="174" t="n">
        <v>733739014351</v>
      </c>
      <c r="J26" s="57" t="inlineStr">
        <is>
          <t>в наличии</t>
        </is>
      </c>
      <c r="K26" s="6" t="n"/>
      <c r="L26" s="175" t="n"/>
      <c r="M26" s="176">
        <f>L26*D26</f>
        <v/>
      </c>
    </row>
    <row r="27" ht="15.6" customFormat="1" customHeight="1" s="7">
      <c r="A27" s="5" t="n">
        <v>24</v>
      </c>
      <c r="B27" s="17" t="inlineStr">
        <is>
          <t>N F</t>
        </is>
      </c>
      <c r="C27" s="178" t="inlineStr">
        <is>
          <t>Мега Д-3 и MK-7,  5000 IU / 180 мкг  60 капсул</t>
        </is>
      </c>
      <c r="D27" s="76" t="n">
        <v>244000</v>
      </c>
      <c r="E27" s="54" t="n">
        <v>12</v>
      </c>
      <c r="F27" s="55" t="inlineStr">
        <is>
          <t xml:space="preserve">3 года </t>
        </is>
      </c>
      <c r="G27" s="174" t="n">
        <v>2106909803</v>
      </c>
      <c r="H27" s="174" t="n">
        <v>2936001013000000</v>
      </c>
      <c r="I27" s="174" t="n">
        <v>733739003843</v>
      </c>
      <c r="J27" s="57" t="inlineStr">
        <is>
          <t>в наличии</t>
        </is>
      </c>
      <c r="K27" s="60" t="n"/>
      <c r="L27" s="175" t="n"/>
      <c r="M27" s="176">
        <f>L27*D27</f>
        <v/>
      </c>
      <c r="N27" s="11" t="n"/>
    </row>
    <row r="28" ht="15.6" customFormat="1" customHeight="1" s="11">
      <c r="A28" s="5" t="n">
        <v>25</v>
      </c>
      <c r="B28" s="17" t="inlineStr">
        <is>
          <t>N F</t>
        </is>
      </c>
      <c r="C28" s="178" t="inlineStr">
        <is>
          <t>Витамины Д-3 и K2  120 растительных капсул</t>
        </is>
      </c>
      <c r="D28" s="76" t="n">
        <v>155000</v>
      </c>
      <c r="E28" s="54" t="n">
        <v>12</v>
      </c>
      <c r="F28" s="55" t="inlineStr">
        <is>
          <t xml:space="preserve">4 года </t>
        </is>
      </c>
      <c r="G28" s="174" t="n">
        <v>2106909803</v>
      </c>
      <c r="H28" s="174" t="n">
        <v>2936001013000000</v>
      </c>
      <c r="I28" s="174" t="n">
        <v>733739003690</v>
      </c>
      <c r="J28" s="57" t="inlineStr">
        <is>
          <t>в наличии</t>
        </is>
      </c>
      <c r="K28" s="60" t="n"/>
      <c r="L28" s="175" t="n"/>
      <c r="M28" s="176">
        <f>L28*D28</f>
        <v/>
      </c>
    </row>
    <row r="29" ht="15.6" customFormat="1" customHeight="1" s="11">
      <c r="A29" s="5" t="n">
        <v>26</v>
      </c>
      <c r="B29" s="17" t="inlineStr">
        <is>
          <t>N F</t>
        </is>
      </c>
      <c r="C29" s="178" t="inlineStr">
        <is>
          <t>Витамин Д-3 2000 IU  30 капсул</t>
        </is>
      </c>
      <c r="D29" s="76" t="n">
        <v>53000</v>
      </c>
      <c r="E29" s="54" t="n">
        <v>12</v>
      </c>
      <c r="F29" s="55" t="inlineStr">
        <is>
          <t xml:space="preserve">4 года </t>
        </is>
      </c>
      <c r="G29" s="174" t="n">
        <v>2106909803</v>
      </c>
      <c r="H29" s="174" t="n">
        <v>2936001013000000</v>
      </c>
      <c r="I29" s="174" t="n">
        <v>733739003553</v>
      </c>
      <c r="J29" s="57" t="inlineStr">
        <is>
          <t>в наличии</t>
        </is>
      </c>
      <c r="K29" s="60" t="inlineStr">
        <is>
          <t> </t>
        </is>
      </c>
      <c r="L29" s="175" t="n"/>
      <c r="M29" s="176">
        <f>L29*D29</f>
        <v/>
      </c>
    </row>
    <row r="30" ht="15.6" customFormat="1" customHeight="1" s="11">
      <c r="A30" s="5" t="n">
        <v>27</v>
      </c>
      <c r="B30" s="17" t="inlineStr">
        <is>
          <t>N F</t>
        </is>
      </c>
      <c r="C30" s="178" t="inlineStr">
        <is>
          <t>Витамин Д-3 2000 IU 120 капсул</t>
        </is>
      </c>
      <c r="D30" s="76" t="n">
        <v>89000</v>
      </c>
      <c r="E30" s="54" t="n">
        <v>12</v>
      </c>
      <c r="F30" s="55" t="inlineStr">
        <is>
          <t xml:space="preserve">4 года </t>
        </is>
      </c>
      <c r="G30" s="174" t="n">
        <v>2106909803</v>
      </c>
      <c r="H30" s="174" t="n">
        <v>2936001013000000</v>
      </c>
      <c r="I30" s="174" t="n">
        <v>733739003676</v>
      </c>
      <c r="J30" s="57" t="inlineStr">
        <is>
          <t>в наличии</t>
        </is>
      </c>
      <c r="K30" s="60" t="inlineStr">
        <is>
          <t> </t>
        </is>
      </c>
      <c r="L30" s="175" t="n"/>
      <c r="M30" s="176">
        <f>L30*D30</f>
        <v/>
      </c>
    </row>
    <row r="31" ht="15.6" customFormat="1" customHeight="1" s="11">
      <c r="A31" s="5" t="n">
        <v>28</v>
      </c>
      <c r="B31" s="17" t="inlineStr">
        <is>
          <t>N F</t>
        </is>
      </c>
      <c r="C31" s="178" t="inlineStr">
        <is>
          <t>Витамин Д-3 2000 IU 240 капсул</t>
        </is>
      </c>
      <c r="D31" s="76" t="n">
        <v>155000</v>
      </c>
      <c r="E31" s="54" t="n">
        <v>12</v>
      </c>
      <c r="F31" s="55" t="inlineStr">
        <is>
          <t xml:space="preserve">4 года </t>
        </is>
      </c>
      <c r="G31" s="174" t="n">
        <v>2106909803</v>
      </c>
      <c r="H31" s="174" t="n">
        <v>2936001013000000</v>
      </c>
      <c r="I31" s="174" t="n">
        <v>733739003775</v>
      </c>
      <c r="J31" s="57" t="inlineStr">
        <is>
          <t>в наличии</t>
        </is>
      </c>
      <c r="K31" s="60" t="inlineStr">
        <is>
          <t> </t>
        </is>
      </c>
      <c r="L31" s="175" t="n"/>
      <c r="M31" s="176">
        <f>L31*D31</f>
        <v/>
      </c>
    </row>
    <row r="32" ht="15.6" customFormat="1" customHeight="1" s="11">
      <c r="A32" s="5" t="n">
        <v>29</v>
      </c>
      <c r="B32" s="17" t="inlineStr">
        <is>
          <t>N F</t>
        </is>
      </c>
      <c r="C32" s="178" t="inlineStr">
        <is>
          <t>Витамин Д-3 5000 IU  30 капсул</t>
        </is>
      </c>
      <c r="D32" s="76" t="n">
        <v>56000</v>
      </c>
      <c r="E32" s="54" t="n">
        <v>12</v>
      </c>
      <c r="F32" s="55" t="inlineStr">
        <is>
          <t xml:space="preserve">4 года </t>
        </is>
      </c>
      <c r="G32" s="174" t="n">
        <v>2106909803</v>
      </c>
      <c r="H32" s="174" t="n">
        <v>2936001013000000</v>
      </c>
      <c r="I32" s="174" t="n">
        <v>733739003744</v>
      </c>
      <c r="J32" s="57" t="inlineStr">
        <is>
          <t>в наличии</t>
        </is>
      </c>
      <c r="K32" s="60" t="n"/>
      <c r="L32" s="175" t="n"/>
      <c r="M32" s="176">
        <f>L32*D32</f>
        <v/>
      </c>
    </row>
    <row r="33" ht="15.6" customFormat="1" customHeight="1" s="11">
      <c r="A33" s="5" t="n">
        <v>30</v>
      </c>
      <c r="B33" s="17" t="inlineStr">
        <is>
          <t>N F</t>
        </is>
      </c>
      <c r="C33" s="178" t="inlineStr">
        <is>
          <t>Витамин Д-3 5000 IU 120 капсул</t>
        </is>
      </c>
      <c r="D33" s="76" t="n">
        <v>122000</v>
      </c>
      <c r="E33" s="54" t="n">
        <v>12</v>
      </c>
      <c r="F33" s="55" t="inlineStr">
        <is>
          <t xml:space="preserve">4 года </t>
        </is>
      </c>
      <c r="G33" s="174" t="n">
        <v>2106909803</v>
      </c>
      <c r="H33" s="174" t="n">
        <v>2936001013000000</v>
      </c>
      <c r="I33" s="174" t="n">
        <v>733739003720</v>
      </c>
      <c r="J33" s="57" t="inlineStr">
        <is>
          <t>в наличии</t>
        </is>
      </c>
      <c r="K33" s="6" t="inlineStr">
        <is>
          <t> </t>
        </is>
      </c>
      <c r="L33" s="175" t="n"/>
      <c r="M33" s="176">
        <f>L33*D33</f>
        <v/>
      </c>
      <c r="N33" s="7" t="n"/>
    </row>
    <row r="34" ht="15.6" customFormat="1" customHeight="1" s="7">
      <c r="A34" s="5" t="n">
        <v>31</v>
      </c>
      <c r="B34" s="17" t="inlineStr">
        <is>
          <t>N F</t>
        </is>
      </c>
      <c r="C34" s="178" t="inlineStr">
        <is>
          <t>Витамин Д-3 5000 IU 240 капсул</t>
        </is>
      </c>
      <c r="D34" s="76" t="n">
        <v>214000</v>
      </c>
      <c r="E34" s="54" t="n">
        <v>12</v>
      </c>
      <c r="F34" s="55" t="inlineStr">
        <is>
          <t xml:space="preserve">4 года </t>
        </is>
      </c>
      <c r="G34" s="174" t="n">
        <v>2106909803</v>
      </c>
      <c r="H34" s="174" t="n">
        <v>2936001013000000</v>
      </c>
      <c r="I34" s="174" t="n">
        <v>733739003737</v>
      </c>
      <c r="J34" s="57" t="inlineStr">
        <is>
          <t>в наличии</t>
        </is>
      </c>
      <c r="K34" s="6" t="n"/>
      <c r="L34" s="175" t="n"/>
      <c r="M34" s="176">
        <f>L34*D34</f>
        <v/>
      </c>
    </row>
    <row r="35" ht="15.6" customFormat="1" customHeight="1" s="7">
      <c r="A35" s="5" t="n">
        <v>33</v>
      </c>
      <c r="B35" s="17" t="inlineStr">
        <is>
          <t>N F</t>
        </is>
      </c>
      <c r="C35" s="178" t="inlineStr">
        <is>
          <t>Витамин Д-3 10,000 IU 120 капсул</t>
        </is>
      </c>
      <c r="D35" s="76" t="n">
        <v>154000</v>
      </c>
      <c r="E35" s="54" t="n">
        <v>12</v>
      </c>
      <c r="F35" s="55" t="inlineStr">
        <is>
          <t xml:space="preserve">3 года </t>
        </is>
      </c>
      <c r="G35" s="174" t="n">
        <v>2106909803</v>
      </c>
      <c r="H35" s="174" t="n">
        <v>2936001013000000</v>
      </c>
      <c r="I35" s="174" t="n">
        <v>733739003768</v>
      </c>
      <c r="J35" s="57" t="inlineStr">
        <is>
          <t>в наличии</t>
        </is>
      </c>
      <c r="K35" s="6" t="n"/>
      <c r="L35" s="175" t="n"/>
      <c r="M35" s="176">
        <f>L35*D35</f>
        <v/>
      </c>
    </row>
    <row r="36" ht="15.6" customFormat="1" customHeight="1" s="7">
      <c r="A36" s="5" t="n">
        <v>34</v>
      </c>
      <c r="B36" s="17" t="inlineStr">
        <is>
          <t>N F</t>
        </is>
      </c>
      <c r="C36" s="178" t="inlineStr">
        <is>
          <t>Жидкий витамин Д-3  10 мкг (400 МЕ)  59 мл</t>
        </is>
      </c>
      <c r="D36" s="76" t="n">
        <v>116000</v>
      </c>
      <c r="E36" s="54" t="n">
        <v>35</v>
      </c>
      <c r="F36" s="55" t="inlineStr">
        <is>
          <t xml:space="preserve">4 года </t>
        </is>
      </c>
      <c r="G36" s="174" t="n">
        <v>2106909803</v>
      </c>
      <c r="H36" s="174" t="n">
        <v>2936001013000000</v>
      </c>
      <c r="I36" s="174" t="n">
        <v>733739003706</v>
      </c>
      <c r="J36" s="57" t="inlineStr">
        <is>
          <t>в наличии</t>
        </is>
      </c>
      <c r="K36" s="60" t="n"/>
      <c r="L36" s="175" t="n"/>
      <c r="M36" s="176">
        <f>L36*D36</f>
        <v/>
      </c>
      <c r="N36" s="11" t="n"/>
    </row>
    <row r="37" ht="15.6" customFormat="1" customHeight="1" s="11">
      <c r="A37" s="5" t="n">
        <v>35</v>
      </c>
      <c r="B37" s="17" t="inlineStr">
        <is>
          <t>N F</t>
        </is>
      </c>
      <c r="C37" s="173" t="inlineStr">
        <is>
          <t>Железо  двойной концентрации, 36 мг  90 вегетарианских капсул</t>
        </is>
      </c>
      <c r="D37" s="76" t="n">
        <v>138000</v>
      </c>
      <c r="E37" s="54" t="n">
        <v>12</v>
      </c>
      <c r="F37" s="55" t="inlineStr">
        <is>
          <t xml:space="preserve">3 года </t>
        </is>
      </c>
      <c r="G37" s="174" t="n">
        <v>2106909803</v>
      </c>
      <c r="H37" s="174" t="n">
        <v>2936001013000000</v>
      </c>
      <c r="I37" s="174" t="n">
        <v>733739014443</v>
      </c>
      <c r="J37" s="57" t="inlineStr">
        <is>
          <t>в наличии</t>
        </is>
      </c>
      <c r="K37" s="60" t="n"/>
      <c r="L37" s="175" t="n"/>
      <c r="M37" s="176">
        <f>L37*D37</f>
        <v/>
      </c>
    </row>
    <row r="38" ht="15.6" customFormat="1" customHeight="1" s="11">
      <c r="A38" s="5" t="n">
        <v>36</v>
      </c>
      <c r="B38" s="17" t="inlineStr">
        <is>
          <t>N F</t>
        </is>
      </c>
      <c r="C38" s="178" t="inlineStr">
        <is>
          <t>Инозитол 500 мг 100 капсул</t>
        </is>
      </c>
      <c r="D38" s="76" t="n">
        <v>154000</v>
      </c>
      <c r="E38" s="54" t="n">
        <v>12</v>
      </c>
      <c r="F38" s="55" t="inlineStr">
        <is>
          <t xml:space="preserve">5 года </t>
        </is>
      </c>
      <c r="G38" s="174" t="n">
        <v>2106909803</v>
      </c>
      <c r="H38" s="174" t="n">
        <v>2936001013000000</v>
      </c>
      <c r="I38" s="174" t="n">
        <v>733739004758</v>
      </c>
      <c r="J38" s="57" t="inlineStr">
        <is>
          <t>в наличии</t>
        </is>
      </c>
      <c r="K38" s="6" t="n"/>
      <c r="L38" s="175" t="n"/>
      <c r="M38" s="176">
        <f>L38*D38</f>
        <v/>
      </c>
      <c r="N38" s="7" t="n"/>
    </row>
    <row r="39" ht="15.6" customFormat="1" customHeight="1" s="7">
      <c r="A39" s="5" t="n">
        <v>37</v>
      </c>
      <c r="B39" s="17" t="inlineStr">
        <is>
          <t>N F</t>
        </is>
      </c>
      <c r="C39" s="178" t="inlineStr">
        <is>
          <t>Холин и Инозитол 100 капсул</t>
        </is>
      </c>
      <c r="D39" s="76" t="n">
        <v>184000</v>
      </c>
      <c r="E39" s="54" t="n">
        <v>12</v>
      </c>
      <c r="F39" s="55" t="inlineStr">
        <is>
          <t xml:space="preserve">4 года </t>
        </is>
      </c>
      <c r="G39" s="174" t="n">
        <v>2106909803</v>
      </c>
      <c r="H39" s="174" t="n">
        <v>2936001013000000</v>
      </c>
      <c r="I39" s="174" t="n">
        <v>733739004703</v>
      </c>
      <c r="J39" s="57" t="inlineStr">
        <is>
          <t>в наличии</t>
        </is>
      </c>
      <c r="K39" s="6" t="n"/>
      <c r="L39" s="175" t="n"/>
      <c r="M39" s="176">
        <f>L39*D39</f>
        <v/>
      </c>
    </row>
    <row r="40" ht="15.6" customFormat="1" customHeight="1" s="7">
      <c r="A40" s="5" t="n">
        <v>38</v>
      </c>
      <c r="B40" s="17" t="inlineStr">
        <is>
          <t>N F</t>
        </is>
      </c>
      <c r="C40" s="178" t="inlineStr">
        <is>
          <t>Селен 200 мкг 90 капсул</t>
        </is>
      </c>
      <c r="D40" s="76" t="n">
        <v>105000</v>
      </c>
      <c r="E40" s="54" t="n">
        <v>12</v>
      </c>
      <c r="F40" s="55" t="inlineStr">
        <is>
          <t xml:space="preserve">5 года </t>
        </is>
      </c>
      <c r="G40" s="174" t="n">
        <v>2106909803</v>
      </c>
      <c r="H40" s="174" t="n">
        <v>2936001013000000</v>
      </c>
      <c r="I40" s="174" t="n">
        <v>733739014856</v>
      </c>
      <c r="J40" s="57" t="inlineStr">
        <is>
          <t>в наличии</t>
        </is>
      </c>
      <c r="K40" s="6" t="n"/>
      <c r="L40" s="175" t="n"/>
      <c r="M40" s="176">
        <f>L40*D40</f>
        <v/>
      </c>
    </row>
    <row r="41" ht="15.6" customFormat="1" customHeight="1" s="7">
      <c r="A41" s="5" t="n">
        <v>39</v>
      </c>
      <c r="B41" s="17" t="inlineStr">
        <is>
          <t>N F</t>
        </is>
      </c>
      <c r="C41" s="178" t="inlineStr">
        <is>
          <t>Селен 200 мкг 180 капсул</t>
        </is>
      </c>
      <c r="D41" s="76" t="n">
        <v>190000</v>
      </c>
      <c r="E41" s="54" t="n">
        <v>12</v>
      </c>
      <c r="F41" s="55" t="inlineStr">
        <is>
          <t xml:space="preserve">4 года </t>
        </is>
      </c>
      <c r="G41" s="174" t="n">
        <v>2106909803</v>
      </c>
      <c r="H41" s="174" t="n">
        <v>2936001013000000</v>
      </c>
      <c r="I41" s="174" t="n">
        <v>733739014863</v>
      </c>
      <c r="J41" s="57" t="inlineStr">
        <is>
          <t>в наличии</t>
        </is>
      </c>
      <c r="K41" s="6" t="n"/>
      <c r="L41" s="175" t="n"/>
      <c r="M41" s="176">
        <f>L41*D41</f>
        <v/>
      </c>
    </row>
    <row r="42" ht="15.6" customFormat="1" customHeight="1" s="63">
      <c r="A42" s="5" t="n">
        <v>40</v>
      </c>
      <c r="B42" s="17" t="inlineStr">
        <is>
          <t>N F</t>
        </is>
      </c>
      <c r="C42" s="178" t="inlineStr">
        <is>
          <t>Лецитин 1200 мг 100 капсул (400 мг в 1 капсуле)</t>
        </is>
      </c>
      <c r="D42" s="76" t="n">
        <v>172000</v>
      </c>
      <c r="E42" s="54" t="n">
        <v>12</v>
      </c>
      <c r="F42" s="55" t="inlineStr">
        <is>
          <t xml:space="preserve">4 года </t>
        </is>
      </c>
      <c r="G42" s="174" t="n">
        <v>2106909803</v>
      </c>
      <c r="H42" s="174" t="n">
        <v>2936001013000000</v>
      </c>
      <c r="I42" s="174" t="n">
        <v>733739022103</v>
      </c>
      <c r="J42" s="57" t="inlineStr">
        <is>
          <t>в наличии</t>
        </is>
      </c>
      <c r="K42" s="60" t="n"/>
      <c r="L42" s="175" t="n"/>
      <c r="M42" s="176">
        <f>L42*D42</f>
        <v/>
      </c>
      <c r="N42" s="11" t="n"/>
    </row>
    <row r="43" ht="15.6" customFormat="1" customHeight="1" s="7">
      <c r="A43" s="5" t="n">
        <v>41</v>
      </c>
      <c r="B43" s="17" t="inlineStr">
        <is>
          <t>N F</t>
        </is>
      </c>
      <c r="C43" s="173" t="inlineStr">
        <is>
          <t>Подсолнечный лецитин, чистый порошок 454 гр.</t>
        </is>
      </c>
      <c r="D43" s="76" t="n">
        <v>370000</v>
      </c>
      <c r="E43" s="54" t="n">
        <v>6</v>
      </c>
      <c r="F43" s="55" t="inlineStr">
        <is>
          <t xml:space="preserve">4 года </t>
        </is>
      </c>
      <c r="G43" s="174" t="n">
        <v>2106909803</v>
      </c>
      <c r="H43" s="174" t="n">
        <v>2936001013000000</v>
      </c>
      <c r="I43" s="174" t="n">
        <v>733739023148</v>
      </c>
      <c r="J43" s="57" t="inlineStr">
        <is>
          <t>в наличии</t>
        </is>
      </c>
      <c r="K43" s="61" t="n"/>
      <c r="L43" s="175" t="n"/>
      <c r="M43" s="176">
        <f>L43*D43</f>
        <v/>
      </c>
      <c r="N43" s="62" t="n"/>
    </row>
    <row r="44" ht="15.6" customFormat="1" customHeight="1" s="11">
      <c r="A44" s="5" t="n">
        <v>42</v>
      </c>
      <c r="B44" s="17" t="inlineStr">
        <is>
          <t>N F</t>
        </is>
      </c>
      <c r="C44" s="173" t="inlineStr">
        <is>
          <t>Цинк глюконат 50 мг 100 таблеток</t>
        </is>
      </c>
      <c r="D44" s="76" t="n">
        <v>85000</v>
      </c>
      <c r="E44" s="54" t="n">
        <v>12</v>
      </c>
      <c r="F44" s="55" t="inlineStr">
        <is>
          <t xml:space="preserve">5 года </t>
        </is>
      </c>
      <c r="G44" s="174" t="n">
        <v>2106909803</v>
      </c>
      <c r="H44" s="174" t="n">
        <v>2936001013000000</v>
      </c>
      <c r="I44" s="174" t="n">
        <v>733739015204</v>
      </c>
      <c r="J44" s="57" t="inlineStr">
        <is>
          <t>в наличии</t>
        </is>
      </c>
      <c r="K44" s="6" t="n"/>
      <c r="L44" s="175" t="n"/>
      <c r="M44" s="176">
        <f>L44*D44</f>
        <v/>
      </c>
      <c r="N44" s="7" t="n"/>
    </row>
    <row r="45" ht="15.6" customFormat="1" customHeight="1" s="62">
      <c r="A45" s="5" t="n">
        <v>43</v>
      </c>
      <c r="B45" s="17" t="inlineStr">
        <is>
          <t>N F</t>
        </is>
      </c>
      <c r="C45" s="173" t="inlineStr">
        <is>
          <t>Цинк пиколинат 50 мг 60 капсул</t>
        </is>
      </c>
      <c r="D45" s="76" t="n">
        <v>106000</v>
      </c>
      <c r="E45" s="54" t="n">
        <v>12</v>
      </c>
      <c r="F45" s="55" t="inlineStr">
        <is>
          <t xml:space="preserve">5 года </t>
        </is>
      </c>
      <c r="G45" s="174" t="n">
        <v>2106909803</v>
      </c>
      <c r="H45" s="174" t="n">
        <v>2936001013000000</v>
      </c>
      <c r="I45" s="174" t="n">
        <v>733739015501</v>
      </c>
      <c r="J45" s="57" t="inlineStr">
        <is>
          <t>в наличии</t>
        </is>
      </c>
      <c r="K45" s="6" t="n"/>
      <c r="L45" s="175" t="n"/>
      <c r="M45" s="176">
        <f>L45*D45</f>
        <v/>
      </c>
      <c r="N45" s="7" t="n"/>
    </row>
    <row r="46" ht="15.6" customFormat="1" customHeight="1" s="7">
      <c r="A46" s="5" t="n">
        <v>44</v>
      </c>
      <c r="B46" s="17" t="inlineStr">
        <is>
          <t>N F</t>
        </is>
      </c>
      <c r="C46" s="173" t="inlineStr">
        <is>
          <t>Цинк пиколинат 50 мг 120 капсул</t>
        </is>
      </c>
      <c r="D46" s="76" t="n">
        <v>169000</v>
      </c>
      <c r="E46" s="54" t="n">
        <v>12</v>
      </c>
      <c r="F46" s="55" t="inlineStr">
        <is>
          <t xml:space="preserve">5 года </t>
        </is>
      </c>
      <c r="G46" s="174" t="n">
        <v>2106909803</v>
      </c>
      <c r="H46" s="174" t="n">
        <v>2936001013000000</v>
      </c>
      <c r="I46" s="174" t="n">
        <v>733739015525</v>
      </c>
      <c r="J46" s="57" t="inlineStr">
        <is>
          <t>в наличии</t>
        </is>
      </c>
      <c r="K46" s="6" t="n"/>
      <c r="L46" s="175" t="n"/>
      <c r="M46" s="176">
        <f>L46*D46</f>
        <v/>
      </c>
    </row>
    <row r="47" ht="15.6" customFormat="1" customHeight="1" s="7">
      <c r="A47" s="5" t="n">
        <v>45</v>
      </c>
      <c r="B47" s="17" t="inlineStr">
        <is>
          <t>N F</t>
        </is>
      </c>
      <c r="C47" s="173" t="inlineStr">
        <is>
          <t>Прополис 1500, 300 мг,  100 капсул</t>
        </is>
      </c>
      <c r="D47" s="76" t="n">
        <v>226000</v>
      </c>
      <c r="E47" s="54" t="n">
        <v>12</v>
      </c>
      <c r="F47" s="55" t="inlineStr">
        <is>
          <t xml:space="preserve">4 года </t>
        </is>
      </c>
      <c r="G47" s="174" t="n">
        <v>2106909803</v>
      </c>
      <c r="H47" s="174" t="n">
        <v>2936001013000000</v>
      </c>
      <c r="I47" s="174" t="n">
        <v>733739025401</v>
      </c>
      <c r="J47" s="57" t="inlineStr">
        <is>
          <t>в наличии</t>
        </is>
      </c>
      <c r="K47" s="6" t="n"/>
      <c r="L47" s="175" t="n"/>
      <c r="M47" s="176">
        <f>L47*D47</f>
        <v/>
      </c>
    </row>
    <row r="48" ht="15.6" customFormat="1" customHeight="1" s="7">
      <c r="A48" s="5" t="n">
        <v>47</v>
      </c>
      <c r="B48" s="17" t="inlineStr">
        <is>
          <t>N F</t>
        </is>
      </c>
      <c r="C48" s="178" t="inlineStr">
        <is>
          <t>Мелатонин 3 мг 180 капсул</t>
        </is>
      </c>
      <c r="D48" s="76" t="n">
        <v>156000</v>
      </c>
      <c r="E48" s="54" t="n">
        <v>12</v>
      </c>
      <c r="F48" s="55" t="inlineStr">
        <is>
          <t xml:space="preserve">4 года </t>
        </is>
      </c>
      <c r="G48" s="174" t="n">
        <v>2106909803</v>
      </c>
      <c r="H48" s="174" t="n">
        <v>2936001013000000</v>
      </c>
      <c r="I48" s="174" t="n">
        <v>733739032577</v>
      </c>
      <c r="J48" s="57" t="inlineStr">
        <is>
          <t>в наличии</t>
        </is>
      </c>
      <c r="K48" s="6" t="n"/>
      <c r="L48" s="175" t="n"/>
      <c r="M48" s="176">
        <f>L48*D48</f>
        <v/>
      </c>
    </row>
    <row r="49" ht="15.6" customFormat="1" customHeight="1" s="7">
      <c r="A49" s="5" t="n">
        <v>48</v>
      </c>
      <c r="B49" s="17" t="inlineStr">
        <is>
          <t>N F</t>
        </is>
      </c>
      <c r="C49" s="179" t="inlineStr">
        <is>
          <t>Мелатонин 5 мг 60 таблеток</t>
        </is>
      </c>
      <c r="D49" s="76" t="n">
        <v>83000</v>
      </c>
      <c r="E49" s="54" t="n">
        <v>12</v>
      </c>
      <c r="F49" s="55" t="inlineStr">
        <is>
          <t xml:space="preserve">4 года </t>
        </is>
      </c>
      <c r="G49" s="174" t="n">
        <v>2106909803</v>
      </c>
      <c r="H49" s="174" t="n">
        <v>2936001013000000</v>
      </c>
      <c r="I49" s="174" t="n">
        <v>733739035554</v>
      </c>
      <c r="J49" s="57" t="inlineStr">
        <is>
          <t>в наличии</t>
        </is>
      </c>
      <c r="K49" s="6" t="n"/>
      <c r="L49" s="175" t="n"/>
      <c r="M49" s="176">
        <f>L49*D49</f>
        <v/>
      </c>
    </row>
    <row r="50" ht="15.6" customFormat="1" customHeight="1" s="7">
      <c r="A50" s="5" t="n">
        <v>49</v>
      </c>
      <c r="B50" s="17" t="inlineStr">
        <is>
          <t>N F</t>
        </is>
      </c>
      <c r="C50" s="178" t="inlineStr">
        <is>
          <t>Мелатонин 5 мг 120 таблеток</t>
        </is>
      </c>
      <c r="D50" s="76" t="n">
        <v>138000</v>
      </c>
      <c r="E50" s="54" t="n">
        <v>12</v>
      </c>
      <c r="F50" s="55" t="inlineStr">
        <is>
          <t xml:space="preserve">3 года </t>
        </is>
      </c>
      <c r="G50" s="174" t="n">
        <v>2106909803</v>
      </c>
      <c r="H50" s="174" t="n">
        <v>2936001013000000</v>
      </c>
      <c r="I50" s="174" t="n">
        <v>733739035547</v>
      </c>
      <c r="J50" s="57" t="inlineStr">
        <is>
          <t>в наличии</t>
        </is>
      </c>
      <c r="K50" s="6" t="n"/>
      <c r="L50" s="175" t="n"/>
      <c r="M50" s="176">
        <f>L50*D50</f>
        <v/>
      </c>
    </row>
    <row r="51" ht="15.6" customFormat="1" customHeight="1" s="7">
      <c r="A51" s="5" t="n">
        <v>50</v>
      </c>
      <c r="B51" s="17" t="inlineStr">
        <is>
          <t>N F</t>
        </is>
      </c>
      <c r="C51" s="178" t="inlineStr">
        <is>
          <t>Комплекс витаминов группы B, B-12 1000 мг 100 пастилок</t>
        </is>
      </c>
      <c r="D51" s="76" t="n">
        <v>123000</v>
      </c>
      <c r="E51" s="54" t="n">
        <v>12</v>
      </c>
      <c r="F51" s="55" t="inlineStr">
        <is>
          <t xml:space="preserve">3 года </t>
        </is>
      </c>
      <c r="G51" s="174" t="n">
        <v>2106909803</v>
      </c>
      <c r="H51" s="174" t="n">
        <v>2936001013000000</v>
      </c>
      <c r="I51" s="174" t="n">
        <v>733739004666</v>
      </c>
      <c r="J51" s="57" t="inlineStr">
        <is>
          <t>в наличии</t>
        </is>
      </c>
      <c r="K51" s="60" t="n"/>
      <c r="L51" s="175" t="n"/>
      <c r="M51" s="176">
        <f>L51*D51</f>
        <v/>
      </c>
      <c r="N51" s="11" t="n"/>
    </row>
    <row r="52" ht="15.6" customFormat="1" customHeight="1" s="7">
      <c r="A52" s="5" t="n">
        <v>51</v>
      </c>
      <c r="B52" s="17" t="inlineStr">
        <is>
          <t>N F</t>
        </is>
      </c>
      <c r="C52" s="178" t="inlineStr">
        <is>
          <t>Комплекс витаминов группы B, B-50 100 капсул</t>
        </is>
      </c>
      <c r="D52" s="76" t="n">
        <v>210000</v>
      </c>
      <c r="E52" s="54" t="n">
        <v>12</v>
      </c>
      <c r="F52" s="55" t="inlineStr">
        <is>
          <t xml:space="preserve">3 года </t>
        </is>
      </c>
      <c r="G52" s="174" t="n">
        <v>2106909803</v>
      </c>
      <c r="H52" s="174" t="n">
        <v>2936001013000000</v>
      </c>
      <c r="I52" s="174" t="n">
        <v>733739004208</v>
      </c>
      <c r="J52" s="57" t="inlineStr">
        <is>
          <t>в наличии</t>
        </is>
      </c>
      <c r="K52" s="6" t="n"/>
      <c r="L52" s="175" t="n"/>
      <c r="M52" s="176">
        <f>L52*D52</f>
        <v/>
      </c>
    </row>
    <row r="53" ht="15.6" customFormat="1" customHeight="1" s="11">
      <c r="A53" s="5" t="n">
        <v>52</v>
      </c>
      <c r="B53" s="17" t="inlineStr">
        <is>
          <t>N F</t>
        </is>
      </c>
      <c r="C53" s="178" t="inlineStr">
        <is>
          <t>C-500 с шиповником, 100 таблеток</t>
        </is>
      </c>
      <c r="D53" s="76" t="n">
        <v>103000</v>
      </c>
      <c r="E53" s="54" t="n">
        <v>12</v>
      </c>
      <c r="F53" s="55" t="inlineStr">
        <is>
          <t xml:space="preserve">3 года </t>
        </is>
      </c>
      <c r="G53" s="174" t="n">
        <v>2106909803</v>
      </c>
      <c r="H53" s="174" t="n">
        <v>2936001013000000</v>
      </c>
      <c r="I53" s="174" t="n">
        <v>733739006707</v>
      </c>
      <c r="J53" s="57" t="inlineStr">
        <is>
          <t>в наличии</t>
        </is>
      </c>
      <c r="K53" s="6" t="n"/>
      <c r="L53" s="175" t="n"/>
      <c r="M53" s="176">
        <f>L53*D53</f>
        <v/>
      </c>
      <c r="N53" s="7" t="n"/>
    </row>
    <row r="54" ht="15.6" customFormat="1" customHeight="1" s="7">
      <c r="A54" s="5" t="n">
        <v>53</v>
      </c>
      <c r="B54" s="17" t="inlineStr">
        <is>
          <t>N F</t>
        </is>
      </c>
      <c r="C54" s="178" t="inlineStr">
        <is>
          <t>Витамин E-400 МЕ (268 мг)  100 софтгелей</t>
        </is>
      </c>
      <c r="D54" s="76" t="n">
        <v>235000</v>
      </c>
      <c r="E54" s="54" t="n">
        <v>12</v>
      </c>
      <c r="F54" s="55" t="inlineStr">
        <is>
          <t xml:space="preserve">3 года </t>
        </is>
      </c>
      <c r="G54" s="174" t="n">
        <v>2106909803</v>
      </c>
      <c r="H54" s="174" t="n">
        <v>2936001013000000</v>
      </c>
      <c r="I54" s="174" t="n">
        <v>733739008374</v>
      </c>
      <c r="J54" s="57" t="inlineStr">
        <is>
          <t>в наличии</t>
        </is>
      </c>
      <c r="K54" s="64" t="n"/>
      <c r="L54" s="175" t="n"/>
      <c r="M54" s="176">
        <f>L54*D54</f>
        <v/>
      </c>
      <c r="N54" s="65" t="n"/>
    </row>
    <row r="55" ht="15.6" customFormat="1" customHeight="1" s="7">
      <c r="A55" s="5" t="n">
        <v>54</v>
      </c>
      <c r="B55" s="17" t="inlineStr">
        <is>
          <t>N F</t>
        </is>
      </c>
      <c r="C55" s="178" t="inlineStr">
        <is>
          <t>Глутатион, 250 мг  60  капсул</t>
        </is>
      </c>
      <c r="D55" s="76" t="n">
        <v>245000</v>
      </c>
      <c r="E55" s="54" t="n">
        <v>12</v>
      </c>
      <c r="F55" s="55" t="inlineStr">
        <is>
          <t xml:space="preserve">4 года </t>
        </is>
      </c>
      <c r="G55" s="174" t="n">
        <v>2106909803</v>
      </c>
      <c r="H55" s="174" t="n">
        <v>2936001013000000</v>
      </c>
      <c r="I55" s="174" t="n">
        <v>733739000965</v>
      </c>
      <c r="J55" s="57" t="inlineStr">
        <is>
          <t>в наличии</t>
        </is>
      </c>
      <c r="K55" s="64" t="n"/>
      <c r="L55" s="175" t="n"/>
      <c r="M55" s="176">
        <f>L55*D55</f>
        <v/>
      </c>
      <c r="N55" s="65" t="n"/>
    </row>
    <row r="56" ht="15.6" customFormat="1" customHeight="1" s="65">
      <c r="A56" s="5" t="n">
        <v>55</v>
      </c>
      <c r="B56" s="17" t="inlineStr">
        <is>
          <t>N F</t>
        </is>
      </c>
      <c r="C56" s="178" t="inlineStr">
        <is>
          <t>Probiotic-10, 25 млрд, 50 капсул</t>
        </is>
      </c>
      <c r="D56" s="76" t="n">
        <v>286000</v>
      </c>
      <c r="E56" s="54" t="n">
        <v>12</v>
      </c>
      <c r="F56" s="55" t="inlineStr">
        <is>
          <t xml:space="preserve">2 года </t>
        </is>
      </c>
      <c r="G56" s="174" t="n">
        <v>2106909803</v>
      </c>
      <c r="H56" s="174" t="n">
        <v>2936001013000000</v>
      </c>
      <c r="I56" s="174" t="n">
        <v>733739029263</v>
      </c>
      <c r="J56" s="57" t="inlineStr">
        <is>
          <t>в наличии</t>
        </is>
      </c>
      <c r="K56" s="64" t="n"/>
      <c r="L56" s="175" t="n"/>
      <c r="M56" s="176">
        <f>L56*D56</f>
        <v/>
      </c>
    </row>
    <row r="57" ht="15.6" customFormat="1" customHeight="1" s="154">
      <c r="A57" s="5" t="n">
        <v>56</v>
      </c>
      <c r="B57" s="17" t="inlineStr">
        <is>
          <t>N F</t>
        </is>
      </c>
      <c r="C57" s="178" t="inlineStr">
        <is>
          <t>L-аргинин 500 мг  100 капсул</t>
        </is>
      </c>
      <c r="D57" s="76" t="n">
        <v>140000</v>
      </c>
      <c r="E57" s="54" t="n">
        <v>12</v>
      </c>
      <c r="F57" s="55" t="inlineStr">
        <is>
          <t xml:space="preserve">4 года </t>
        </is>
      </c>
      <c r="G57" s="174" t="n">
        <v>2106909803</v>
      </c>
      <c r="H57" s="174" t="n">
        <v>2936001013000000</v>
      </c>
      <c r="I57" s="174" t="n">
        <v>733739000309</v>
      </c>
      <c r="J57" s="57" t="inlineStr">
        <is>
          <t>в наличии</t>
        </is>
      </c>
      <c r="K57" s="6" t="n"/>
      <c r="L57" s="175" t="n"/>
      <c r="M57" s="176">
        <f>L57*D57</f>
        <v/>
      </c>
      <c r="N57" s="7" t="n"/>
    </row>
    <row r="58" ht="15.6" customFormat="1" customHeight="1" s="154">
      <c r="A58" s="5" t="n">
        <v>57</v>
      </c>
      <c r="B58" s="17" t="inlineStr">
        <is>
          <t>N F</t>
        </is>
      </c>
      <c r="C58" s="178" t="inlineStr">
        <is>
          <t>L-аргинин Sports 1000 мг  60 капсул</t>
        </is>
      </c>
      <c r="D58" s="76" t="n">
        <v>217000</v>
      </c>
      <c r="E58" s="54" t="n">
        <v>12</v>
      </c>
      <c r="F58" s="55" t="inlineStr">
        <is>
          <t xml:space="preserve">4 года </t>
        </is>
      </c>
      <c r="G58" s="174" t="n">
        <v>2106909803</v>
      </c>
      <c r="H58" s="174" t="n">
        <v>2936001013000000</v>
      </c>
      <c r="I58" s="174" t="n">
        <v>733739000255</v>
      </c>
      <c r="J58" s="57" t="inlineStr">
        <is>
          <t>в наличии</t>
        </is>
      </c>
      <c r="K58" s="6" t="n"/>
      <c r="L58" s="175" t="n"/>
      <c r="M58" s="176">
        <f>L58*D58</f>
        <v/>
      </c>
      <c r="N58" s="7" t="n"/>
    </row>
    <row r="59" ht="15.6" customFormat="1" customHeight="1" s="154">
      <c r="A59" s="5" t="n">
        <v>58</v>
      </c>
      <c r="B59" s="17" t="inlineStr">
        <is>
          <t>N F</t>
        </is>
      </c>
      <c r="C59" s="178" t="inlineStr">
        <is>
          <t>L-аргинин Sports в виде порошка,  454 г</t>
        </is>
      </c>
      <c r="D59" s="76" t="n">
        <v>494000</v>
      </c>
      <c r="E59" s="54" t="n">
        <v>6</v>
      </c>
      <c r="F59" s="55" t="inlineStr">
        <is>
          <t xml:space="preserve">5 года </t>
        </is>
      </c>
      <c r="G59" s="174" t="n">
        <v>2106909803</v>
      </c>
      <c r="H59" s="174" t="n">
        <v>2936001013000000</v>
      </c>
      <c r="I59" s="174" t="n">
        <v>733739002105</v>
      </c>
      <c r="J59" s="57" t="inlineStr">
        <is>
          <t>в наличии</t>
        </is>
      </c>
      <c r="K59" s="6" t="n"/>
      <c r="L59" s="175" t="n"/>
      <c r="M59" s="176">
        <f>L59*D59</f>
        <v/>
      </c>
      <c r="N59" s="7" t="n"/>
    </row>
    <row r="60" ht="15.6" customFormat="1" customHeight="1" s="7">
      <c r="A60" s="5" t="n">
        <v>59</v>
      </c>
      <c r="B60" s="17" t="inlineStr">
        <is>
          <t>N F</t>
        </is>
      </c>
      <c r="C60" s="173" t="inlineStr">
        <is>
          <t>L-карнитин  1000 мг  50 таблеток</t>
        </is>
      </c>
      <c r="D60" s="76" t="n">
        <v>314000</v>
      </c>
      <c r="E60" s="54" t="n">
        <v>12</v>
      </c>
      <c r="F60" s="55" t="inlineStr">
        <is>
          <t xml:space="preserve">4 года </t>
        </is>
      </c>
      <c r="G60" s="174" t="n">
        <v>2106909803</v>
      </c>
      <c r="H60" s="174" t="n">
        <v>2936001013000000</v>
      </c>
      <c r="I60" s="174" t="n">
        <v>733739000675</v>
      </c>
      <c r="J60" s="57" t="inlineStr">
        <is>
          <t>в наличии</t>
        </is>
      </c>
      <c r="K60" s="60" t="n"/>
      <c r="L60" s="175" t="n"/>
      <c r="M60" s="176">
        <f>L60*D60</f>
        <v/>
      </c>
      <c r="N60" s="11" t="n"/>
    </row>
    <row r="61" ht="15.6" customFormat="1" customHeight="1" s="65">
      <c r="A61" s="5" t="n">
        <v>60</v>
      </c>
      <c r="B61" s="17" t="inlineStr">
        <is>
          <t>N F</t>
        </is>
      </c>
      <c r="C61" s="178" t="inlineStr">
        <is>
          <t>Таурин  двойной концентрации, 1000 мг  100 растительных капсул</t>
        </is>
      </c>
      <c r="D61" s="76" t="n">
        <v>154000</v>
      </c>
      <c r="E61" s="54" t="n">
        <v>12</v>
      </c>
      <c r="F61" s="55" t="inlineStr">
        <is>
          <t xml:space="preserve">5 года </t>
        </is>
      </c>
      <c r="G61" s="174" t="n">
        <v>2106909803</v>
      </c>
      <c r="H61" s="174" t="n">
        <v>2936001013000000</v>
      </c>
      <c r="I61" s="174" t="n">
        <v>733739001429</v>
      </c>
      <c r="J61" s="57" t="inlineStr">
        <is>
          <t>в наличии</t>
        </is>
      </c>
      <c r="K61" s="60" t="n"/>
      <c r="L61" s="175" t="n"/>
      <c r="M61" s="176">
        <f>L61*D61</f>
        <v/>
      </c>
      <c r="N61" s="11" t="n"/>
    </row>
    <row r="62" ht="15.6" customFormat="1" customHeight="1" s="11">
      <c r="A62" s="5" t="n">
        <v>61</v>
      </c>
      <c r="B62" s="17" t="inlineStr">
        <is>
          <t>N F</t>
        </is>
      </c>
      <c r="C62" s="178" t="inlineStr">
        <is>
          <t>Пиколинат Хрома 200 мкг  100  капсул</t>
        </is>
      </c>
      <c r="D62" s="76" t="n">
        <v>89000</v>
      </c>
      <c r="E62" s="54" t="n">
        <v>12</v>
      </c>
      <c r="F62" s="55" t="inlineStr">
        <is>
          <t xml:space="preserve">6 года </t>
        </is>
      </c>
      <c r="G62" s="174" t="n">
        <v>2106909803</v>
      </c>
      <c r="H62" s="174" t="n">
        <v>2936001013000000</v>
      </c>
      <c r="I62" s="174" t="n">
        <v>733739014207</v>
      </c>
      <c r="J62" s="57" t="inlineStr">
        <is>
          <t>в наличии</t>
        </is>
      </c>
      <c r="K62" s="60" t="n"/>
      <c r="L62" s="175" t="n"/>
      <c r="M62" s="176">
        <f>L62*D62</f>
        <v/>
      </c>
    </row>
    <row r="63" ht="15.6" customFormat="1" customHeight="1" s="11">
      <c r="A63" s="5" t="n">
        <v>62</v>
      </c>
      <c r="B63" s="17" t="inlineStr">
        <is>
          <t>N F</t>
        </is>
      </c>
      <c r="C63" s="178" t="inlineStr">
        <is>
          <t>Пиколинат Хрома 200 мкг  250  капсул</t>
        </is>
      </c>
      <c r="D63" s="76" t="n">
        <v>235000</v>
      </c>
      <c r="E63" s="54" t="n">
        <v>12</v>
      </c>
      <c r="F63" s="55" t="inlineStr">
        <is>
          <t xml:space="preserve">5 года </t>
        </is>
      </c>
      <c r="G63" s="174" t="n">
        <v>2106909803</v>
      </c>
      <c r="H63" s="174" t="n">
        <v>2936001013000000</v>
      </c>
      <c r="I63" s="174" t="n">
        <v>733739014221</v>
      </c>
      <c r="J63" s="57" t="inlineStr">
        <is>
          <t>в наличии</t>
        </is>
      </c>
      <c r="K63" s="6" t="n"/>
      <c r="L63" s="175" t="n"/>
      <c r="M63" s="176">
        <f>L63*D63</f>
        <v/>
      </c>
      <c r="N63" s="7" t="n"/>
    </row>
    <row r="64" ht="15.6" customFormat="1" customHeight="1" s="11">
      <c r="A64" s="5" t="n">
        <v>63</v>
      </c>
      <c r="B64" s="17" t="inlineStr">
        <is>
          <t>N F</t>
        </is>
      </c>
      <c r="C64" s="178" t="inlineStr">
        <is>
          <t>Силимарин двойной силы действия 300 мг 50 капсул</t>
        </is>
      </c>
      <c r="D64" s="76" t="n">
        <v>127000</v>
      </c>
      <c r="E64" s="54" t="n">
        <v>12</v>
      </c>
      <c r="F64" s="55" t="inlineStr">
        <is>
          <t xml:space="preserve">4 года </t>
        </is>
      </c>
      <c r="G64" s="174" t="n">
        <v>2106909803</v>
      </c>
      <c r="H64" s="174" t="n">
        <v>2936001013000000</v>
      </c>
      <c r="I64" s="174" t="n">
        <v>733739047380</v>
      </c>
      <c r="J64" s="57" t="inlineStr">
        <is>
          <t>в наличии</t>
        </is>
      </c>
      <c r="K64" s="6" t="n"/>
      <c r="L64" s="175" t="n"/>
      <c r="M64" s="176">
        <f>L64*D64</f>
        <v/>
      </c>
      <c r="N64" s="7" t="n"/>
    </row>
    <row r="65" ht="15.6" customFormat="1" customHeight="1" s="11">
      <c r="A65" s="5" t="n">
        <v>64</v>
      </c>
      <c r="B65" s="17" t="inlineStr">
        <is>
          <t>N F</t>
        </is>
      </c>
      <c r="C65" s="178" t="inlineStr">
        <is>
          <t>Силимарин экстракт расторопши с куркумой, 150 мг  60 капсул</t>
        </is>
      </c>
      <c r="D65" s="76" t="n">
        <v>104000</v>
      </c>
      <c r="E65" s="54" t="n">
        <v>12</v>
      </c>
      <c r="F65" s="55" t="inlineStr">
        <is>
          <t xml:space="preserve">4 года </t>
        </is>
      </c>
      <c r="G65" s="174" t="n">
        <v>2106909803</v>
      </c>
      <c r="H65" s="174" t="n">
        <v>2936001013000000</v>
      </c>
      <c r="I65" s="174" t="n">
        <v>733739047359</v>
      </c>
      <c r="J65" s="57" t="inlineStr">
        <is>
          <t>в наличии</t>
        </is>
      </c>
      <c r="K65" s="6" t="n"/>
      <c r="L65" s="175" t="n"/>
      <c r="M65" s="176">
        <f>L65*D65</f>
        <v/>
      </c>
      <c r="N65" s="7" t="n"/>
    </row>
    <row r="66" ht="15.6" customFormat="1" customHeight="1" s="7">
      <c r="A66" s="5" t="n">
        <v>65</v>
      </c>
      <c r="B66" s="17" t="inlineStr">
        <is>
          <t>N F</t>
        </is>
      </c>
      <c r="C66" s="178" t="inlineStr">
        <is>
          <t>Пептиды Коллагена в виде порошка, 227 г (8 унций)</t>
        </is>
      </c>
      <c r="D66" s="76" t="n">
        <v>281000</v>
      </c>
      <c r="E66" s="54" t="n">
        <v>12</v>
      </c>
      <c r="F66" s="55" t="inlineStr">
        <is>
          <t xml:space="preserve">5 года </t>
        </is>
      </c>
      <c r="G66" s="174" t="n">
        <v>2106909803</v>
      </c>
      <c r="H66" s="174" t="n">
        <v>2936001013000000</v>
      </c>
      <c r="I66" s="174" t="n">
        <v>733739030863</v>
      </c>
      <c r="J66" s="57" t="inlineStr">
        <is>
          <t>в наличии</t>
        </is>
      </c>
      <c r="K66" s="6" t="n"/>
      <c r="L66" s="175" t="n"/>
      <c r="M66" s="176">
        <f>L66*D66</f>
        <v/>
      </c>
    </row>
    <row r="67" ht="15.6" customFormat="1" customHeight="1" s="7">
      <c r="A67" s="5" t="n">
        <v>66</v>
      </c>
      <c r="B67" s="17" t="inlineStr">
        <is>
          <t>N F</t>
        </is>
      </c>
      <c r="C67" s="178" t="inlineStr">
        <is>
          <t>UC-II  добавка для суставов с неденатурированным коллагеном типа II, 60 капс</t>
        </is>
      </c>
      <c r="D67" s="76" t="n">
        <v>389000</v>
      </c>
      <c r="E67" s="54" t="n">
        <v>12</v>
      </c>
      <c r="F67" s="55" t="inlineStr">
        <is>
          <t xml:space="preserve">6 года </t>
        </is>
      </c>
      <c r="G67" s="174" t="n">
        <v>2106909803</v>
      </c>
      <c r="H67" s="174" t="n">
        <v>2936001013000000</v>
      </c>
      <c r="I67" s="174" t="n">
        <v>733739031341</v>
      </c>
      <c r="J67" s="57" t="inlineStr">
        <is>
          <t>в наличии</t>
        </is>
      </c>
      <c r="K67" s="60" t="n"/>
      <c r="L67" s="175" t="n"/>
      <c r="M67" s="176">
        <f>L67*D67</f>
        <v/>
      </c>
      <c r="N67" s="11" t="n"/>
    </row>
    <row r="68" ht="15.6" customFormat="1" customHeight="1" s="7">
      <c r="A68" s="5" t="n">
        <v>67</v>
      </c>
      <c r="B68" s="17" t="inlineStr">
        <is>
          <t>N F</t>
        </is>
      </c>
      <c r="C68" s="178" t="inlineStr">
        <is>
          <t>UC-II  добавка для суставов с неденатурированным коллагеном типа II, 120 капс</t>
        </is>
      </c>
      <c r="D68" s="76" t="n">
        <v>725000</v>
      </c>
      <c r="E68" s="54" t="n">
        <v>12</v>
      </c>
      <c r="F68" s="55" t="inlineStr">
        <is>
          <t xml:space="preserve">6 года </t>
        </is>
      </c>
      <c r="G68" s="174" t="n">
        <v>2106909803</v>
      </c>
      <c r="H68" s="174" t="n">
        <v>2936001013000000</v>
      </c>
      <c r="I68" s="174" t="n">
        <v>0</v>
      </c>
      <c r="J68" s="57" t="inlineStr">
        <is>
          <t>в наличии</t>
        </is>
      </c>
      <c r="K68" s="60" t="n"/>
      <c r="L68" s="175" t="n"/>
      <c r="M68" s="176" t="n"/>
      <c r="N68" s="11" t="n"/>
    </row>
    <row r="69" ht="15.6" customFormat="1" customHeight="1" s="7">
      <c r="A69" s="5" t="n">
        <v>68</v>
      </c>
      <c r="B69" s="17" t="inlineStr">
        <is>
          <t>N F</t>
        </is>
      </c>
      <c r="C69" s="178" t="inlineStr">
        <is>
          <t>Альфа-липоевая кислота, 100 мг, 60 капсул</t>
        </is>
      </c>
      <c r="D69" s="76" t="n">
        <v>134000</v>
      </c>
      <c r="E69" s="54" t="n">
        <v>12</v>
      </c>
      <c r="F69" s="55" t="inlineStr">
        <is>
          <t xml:space="preserve">3 года </t>
        </is>
      </c>
      <c r="G69" s="174" t="n">
        <v>2106909803</v>
      </c>
      <c r="H69" s="174" t="n">
        <v>2936001013000000</v>
      </c>
      <c r="I69" s="174" t="n">
        <v>733739030405</v>
      </c>
      <c r="J69" s="57" t="inlineStr">
        <is>
          <t>в наличии</t>
        </is>
      </c>
      <c r="K69" s="60" t="n"/>
      <c r="L69" s="175" t="n"/>
      <c r="M69" s="176">
        <f>L69*D69</f>
        <v/>
      </c>
      <c r="N69" s="11" t="n"/>
    </row>
    <row r="70" ht="15.6" customFormat="1" customHeight="1" s="7">
      <c r="A70" s="5" t="n">
        <v>69</v>
      </c>
      <c r="B70" s="17" t="inlineStr">
        <is>
          <t>N F</t>
        </is>
      </c>
      <c r="C70" s="178" t="inlineStr">
        <is>
          <t>Альфа-липоевая кислота, 250 мг, 60 капсул</t>
        </is>
      </c>
      <c r="D70" s="76" t="n">
        <v>194000</v>
      </c>
      <c r="E70" s="54" t="n">
        <v>12</v>
      </c>
      <c r="F70" s="55" t="inlineStr">
        <is>
          <t xml:space="preserve">3 года </t>
        </is>
      </c>
      <c r="G70" s="174" t="n">
        <v>2106909803</v>
      </c>
      <c r="H70" s="174" t="n">
        <v>2936001013000000</v>
      </c>
      <c r="I70" s="174" t="n">
        <v>733739030429</v>
      </c>
      <c r="J70" s="57" t="inlineStr">
        <is>
          <t>в наличии</t>
        </is>
      </c>
      <c r="K70" s="60" t="n"/>
      <c r="L70" s="175" t="n"/>
      <c r="M70" s="176">
        <f>L70*D70</f>
        <v/>
      </c>
      <c r="N70" s="11" t="n"/>
    </row>
    <row r="71" ht="15.6" customFormat="1" customHeight="1" s="7">
      <c r="A71" s="5" t="n">
        <v>70</v>
      </c>
      <c r="B71" s="17" t="inlineStr">
        <is>
          <t>N F</t>
        </is>
      </c>
      <c r="C71" s="179" t="inlineStr">
        <is>
          <t>Альфа-липоевая кислота, 600 мг, 60 капсул</t>
        </is>
      </c>
      <c r="D71" s="76" t="n">
        <v>308000</v>
      </c>
      <c r="E71" s="54" t="n">
        <v>12</v>
      </c>
      <c r="F71" s="55" t="inlineStr">
        <is>
          <t xml:space="preserve">3 года </t>
        </is>
      </c>
      <c r="G71" s="174" t="n">
        <v>2106909803</v>
      </c>
      <c r="H71" s="174" t="n">
        <v>2936001013000000</v>
      </c>
      <c r="I71" s="174" t="n">
        <v>733739030467</v>
      </c>
      <c r="J71" s="57" t="inlineStr">
        <is>
          <t>в наличии</t>
        </is>
      </c>
      <c r="K71" s="60" t="n"/>
      <c r="L71" s="175" t="n"/>
      <c r="M71" s="176">
        <f>L71*D71</f>
        <v/>
      </c>
      <c r="N71" s="11" t="n"/>
    </row>
    <row r="72" ht="15.6" customFormat="1" customHeight="1" s="11">
      <c r="A72" s="5" t="n">
        <v>71</v>
      </c>
      <c r="B72" s="17" t="inlineStr">
        <is>
          <t>N F</t>
        </is>
      </c>
      <c r="C72" s="178" t="inlineStr">
        <is>
          <t>Фолиевая кислота 800 мкг 250 таблеток</t>
        </is>
      </c>
      <c r="D72" s="76" t="n">
        <v>101000</v>
      </c>
      <c r="E72" s="54" t="n">
        <v>12</v>
      </c>
      <c r="F72" s="55" t="inlineStr">
        <is>
          <t xml:space="preserve">3 года </t>
        </is>
      </c>
      <c r="G72" s="174" t="n">
        <v>2106909803</v>
      </c>
      <c r="H72" s="174" t="n">
        <v>2936001013000000</v>
      </c>
      <c r="I72" s="174" t="n">
        <v>733739004765</v>
      </c>
      <c r="J72" s="57" t="inlineStr">
        <is>
          <t>в наличии</t>
        </is>
      </c>
      <c r="K72" s="6" t="n"/>
      <c r="L72" s="175" t="n"/>
      <c r="M72" s="176">
        <f>L72*D72</f>
        <v/>
      </c>
      <c r="N72" s="7" t="n"/>
    </row>
    <row r="73" ht="15.6" customFormat="1" customHeight="1" s="7">
      <c r="A73" s="5" t="n">
        <v>72</v>
      </c>
      <c r="B73" s="17" t="inlineStr">
        <is>
          <t>N F</t>
        </is>
      </c>
      <c r="C73" s="173" t="inlineStr">
        <is>
          <t>5-гидрокситриптофан  50 мг, 90 растительных капсул</t>
        </is>
      </c>
      <c r="D73" s="76" t="n">
        <v>169000</v>
      </c>
      <c r="E73" s="54" t="n">
        <v>12</v>
      </c>
      <c r="F73" s="55" t="inlineStr">
        <is>
          <t xml:space="preserve">3 года </t>
        </is>
      </c>
      <c r="G73" s="174" t="n">
        <v>2106909803</v>
      </c>
      <c r="H73" s="174" t="n">
        <v>2936001013000000</v>
      </c>
      <c r="I73" s="174" t="n">
        <v>733739000996</v>
      </c>
      <c r="J73" s="57" t="inlineStr">
        <is>
          <t>в наличии</t>
        </is>
      </c>
      <c r="K73" s="60" t="n"/>
      <c r="L73" s="175" t="n"/>
      <c r="M73" s="176">
        <f>L73*D73</f>
        <v/>
      </c>
      <c r="N73" s="11" t="n"/>
    </row>
    <row r="74" ht="15.6" customFormat="1" customHeight="1" s="11">
      <c r="A74" s="5" t="n">
        <v>73</v>
      </c>
      <c r="B74" s="17" t="inlineStr">
        <is>
          <t>N F</t>
        </is>
      </c>
      <c r="C74" s="178" t="inlineStr">
        <is>
          <t>Берберин и глюкоза, 90 капсул</t>
        </is>
      </c>
      <c r="D74" s="76" t="n">
        <v>478000</v>
      </c>
      <c r="E74" s="54" t="n">
        <v>12</v>
      </c>
      <c r="F74" s="55" t="inlineStr">
        <is>
          <t xml:space="preserve">2 года </t>
        </is>
      </c>
      <c r="G74" s="174" t="n">
        <v>2106909803</v>
      </c>
      <c r="H74" s="174" t="n">
        <v>2936001013000000</v>
      </c>
      <c r="I74" s="174" t="n">
        <v>733739014184</v>
      </c>
      <c r="J74" s="57" t="inlineStr">
        <is>
          <t>в наличии</t>
        </is>
      </c>
      <c r="K74" s="6" t="n"/>
      <c r="L74" s="175" t="n"/>
      <c r="M74" s="176">
        <f>L74*D74</f>
        <v/>
      </c>
      <c r="N74" s="7" t="n"/>
    </row>
    <row r="75" ht="15.6" customFormat="1" customHeight="1" s="7">
      <c r="A75" s="5" t="n">
        <v>74</v>
      </c>
      <c r="B75" s="17" t="inlineStr">
        <is>
          <t>N F</t>
        </is>
      </c>
      <c r="C75" s="178" t="inlineStr">
        <is>
          <t>ГАМК  (гамма-аминомасляная кислота)  с витамином B6 500 мг 100 капсул</t>
        </is>
      </c>
      <c r="D75" s="76" t="n">
        <v>152000</v>
      </c>
      <c r="E75" s="54" t="n">
        <v>12</v>
      </c>
      <c r="F75" s="55" t="inlineStr">
        <is>
          <t xml:space="preserve">5 года </t>
        </is>
      </c>
      <c r="G75" s="174" t="n">
        <v>2106909803</v>
      </c>
      <c r="H75" s="174" t="n">
        <v>2936001013000000</v>
      </c>
      <c r="I75" s="174" t="n">
        <v>733739000873</v>
      </c>
      <c r="J75" s="57" t="inlineStr">
        <is>
          <t>в наличии</t>
        </is>
      </c>
      <c r="K75" s="6" t="n"/>
      <c r="L75" s="175" t="n"/>
      <c r="M75" s="176">
        <f>L75*D75</f>
        <v/>
      </c>
    </row>
    <row r="76" ht="15.6" customFormat="1" customHeight="1" s="7">
      <c r="A76" s="5" t="n">
        <v>75</v>
      </c>
      <c r="B76" s="17" t="inlineStr">
        <is>
          <t>N F</t>
        </is>
      </c>
      <c r="C76" s="178" t="inlineStr">
        <is>
          <t>Жидкий хлорофилл, аромат натуральной мяты  473 мл</t>
        </is>
      </c>
      <c r="D76" s="76" t="n">
        <v>373000</v>
      </c>
      <c r="E76" s="54" t="n">
        <v>12</v>
      </c>
      <c r="F76" s="55" t="inlineStr">
        <is>
          <t xml:space="preserve">4 года </t>
        </is>
      </c>
      <c r="G76" s="174" t="n">
        <v>2106909803</v>
      </c>
      <c r="H76" s="174" t="n">
        <v>2936001013000000</v>
      </c>
      <c r="I76" s="174" t="n">
        <v>733739026446</v>
      </c>
      <c r="J76" s="57" t="inlineStr">
        <is>
          <t>в наличии</t>
        </is>
      </c>
      <c r="K76" s="60" t="n"/>
      <c r="L76" s="175" t="n"/>
      <c r="M76" s="176">
        <f>L76*D76</f>
        <v/>
      </c>
      <c r="N76" s="11" t="n"/>
    </row>
    <row r="77" ht="15.6" customFormat="1" customHeight="1" s="7">
      <c r="A77" s="5" t="n">
        <v>76</v>
      </c>
      <c r="B77" s="17" t="inlineStr">
        <is>
          <t>N F</t>
        </is>
      </c>
      <c r="C77" s="178" t="inlineStr">
        <is>
          <t>Детский витамины, со вкусом ягодного лимонада,  120 таблеток</t>
        </is>
      </c>
      <c r="D77" s="76" t="n">
        <v>224000</v>
      </c>
      <c r="E77" s="54" t="n">
        <v>12</v>
      </c>
      <c r="F77" s="55" t="inlineStr">
        <is>
          <t xml:space="preserve">2 года </t>
        </is>
      </c>
      <c r="G77" s="174" t="n">
        <v>2106909803</v>
      </c>
      <c r="H77" s="174" t="n">
        <v>2936001013000000</v>
      </c>
      <c r="I77" s="174" t="n">
        <v>733739038821</v>
      </c>
      <c r="J77" s="57" t="inlineStr">
        <is>
          <t>в наличии</t>
        </is>
      </c>
      <c r="K77" s="60" t="n"/>
      <c r="L77" s="175" t="n"/>
      <c r="M77" s="176">
        <f>L77*D77</f>
        <v/>
      </c>
      <c r="N77" s="11" t="n"/>
    </row>
    <row r="78" ht="15.6" customFormat="1" customHeight="1" s="7">
      <c r="A78" s="5" t="n">
        <v>77</v>
      </c>
      <c r="B78" s="17" t="inlineStr">
        <is>
          <t>N F</t>
        </is>
      </c>
      <c r="C78" s="178" t="inlineStr">
        <is>
          <t>Детский кальций  100 жевательных таблеток</t>
        </is>
      </c>
      <c r="D78" s="76" t="n">
        <v>238000</v>
      </c>
      <c r="E78" s="54" t="n">
        <v>12</v>
      </c>
      <c r="F78" s="55" t="inlineStr">
        <is>
          <t xml:space="preserve">3 года </t>
        </is>
      </c>
      <c r="G78" s="174" t="n">
        <v>2106909803</v>
      </c>
      <c r="H78" s="174" t="n">
        <v>2936001013000000</v>
      </c>
      <c r="I78" s="174" t="n">
        <v>733739012333</v>
      </c>
      <c r="J78" s="57" t="inlineStr">
        <is>
          <t>в наличии</t>
        </is>
      </c>
      <c r="K78" s="60" t="n"/>
      <c r="L78" s="175" t="n"/>
      <c r="M78" s="176">
        <f>L78*D78</f>
        <v/>
      </c>
      <c r="N78" s="11" t="n"/>
    </row>
    <row r="79" ht="15.6" customFormat="1" customHeight="1" s="7">
      <c r="A79" s="5" t="n">
        <v>78</v>
      </c>
      <c r="B79" s="17" t="inlineStr">
        <is>
          <t>N F</t>
        </is>
      </c>
      <c r="C79" s="178" t="inlineStr">
        <is>
          <t>Детский сироп Бузина жидкая,  237 мл</t>
        </is>
      </c>
      <c r="D79" s="76" t="n">
        <v>256000</v>
      </c>
      <c r="E79" s="54" t="n">
        <v>12</v>
      </c>
      <c r="F79" s="55" t="inlineStr">
        <is>
          <t xml:space="preserve">3 года </t>
        </is>
      </c>
      <c r="G79" s="174" t="n">
        <v>2106909803</v>
      </c>
      <c r="H79" s="174" t="n">
        <v>2936001013000000</v>
      </c>
      <c r="I79" s="174" t="n">
        <v>733739048516</v>
      </c>
      <c r="J79" s="57" t="inlineStr">
        <is>
          <t>в наличии</t>
        </is>
      </c>
      <c r="K79" s="60" t="n"/>
      <c r="L79" s="175" t="n"/>
      <c r="M79" s="176">
        <f>L79*D79</f>
        <v/>
      </c>
      <c r="N79" s="11" t="n"/>
    </row>
    <row r="80" ht="15.6" customFormat="1" customHeight="1" s="7">
      <c r="A80" s="5" t="n">
        <v>79</v>
      </c>
      <c r="B80" s="17" t="inlineStr">
        <is>
          <t>N F</t>
        </is>
      </c>
      <c r="C80" s="178" t="inlineStr">
        <is>
          <t>Шелуха семян подорожника (Psyllium Husk)  340 гр</t>
        </is>
      </c>
      <c r="D80" s="76" t="n">
        <v>211000</v>
      </c>
      <c r="E80" s="54" t="n">
        <v>12</v>
      </c>
      <c r="F80" s="55" t="inlineStr">
        <is>
          <t xml:space="preserve">3 года </t>
        </is>
      </c>
      <c r="G80" s="174" t="n">
        <v>2106909803</v>
      </c>
      <c r="H80" s="174" t="n">
        <v>2936001013000000</v>
      </c>
      <c r="I80" s="174" t="n">
        <v>733739059758</v>
      </c>
      <c r="J80" s="57" t="inlineStr">
        <is>
          <t>в наличии</t>
        </is>
      </c>
      <c r="K80" s="60" t="n"/>
      <c r="L80" s="175" t="n"/>
      <c r="M80" s="176">
        <f>L80*D80</f>
        <v/>
      </c>
      <c r="N80" s="11" t="n"/>
    </row>
    <row r="81" ht="15.6" customFormat="1" customHeight="1" s="7">
      <c r="A81" s="5" t="n">
        <v>80</v>
      </c>
      <c r="B81" s="17" t="inlineStr">
        <is>
          <t>N F</t>
        </is>
      </c>
      <c r="C81" s="178" t="inlineStr">
        <is>
          <t>Шелуха семян подорожника (Psyllium Husk)  680 гр</t>
        </is>
      </c>
      <c r="D81" s="76" t="n">
        <v>356000</v>
      </c>
      <c r="E81" s="54" t="n">
        <v>8</v>
      </c>
      <c r="F81" s="55" t="inlineStr">
        <is>
          <t xml:space="preserve">3 года </t>
        </is>
      </c>
      <c r="G81" s="174" t="n">
        <v>2106909803</v>
      </c>
      <c r="H81" s="174" t="n">
        <v>2936001013000000</v>
      </c>
      <c r="I81" s="174" t="n">
        <v>733739059789</v>
      </c>
      <c r="J81" s="57" t="inlineStr">
        <is>
          <t>в наличии</t>
        </is>
      </c>
      <c r="K81" s="60" t="n"/>
      <c r="L81" s="175" t="n"/>
      <c r="M81" s="176">
        <f>L81*D81</f>
        <v/>
      </c>
      <c r="N81" s="11" t="n"/>
    </row>
    <row r="82" ht="15.6" customFormat="1" customHeight="1" s="7">
      <c r="A82" s="5" t="n">
        <v>81</v>
      </c>
      <c r="B82" s="17" t="inlineStr">
        <is>
          <t>N F</t>
        </is>
      </c>
      <c r="C82" s="178" t="inlineStr">
        <is>
          <t>Эфирные масла, розмарин,  30 мл</t>
        </is>
      </c>
      <c r="D82" s="76" t="n">
        <v>148000</v>
      </c>
      <c r="E82" s="54" t="n">
        <v>24</v>
      </c>
      <c r="F82" s="55" t="inlineStr">
        <is>
          <t xml:space="preserve">4 года </t>
        </is>
      </c>
      <c r="G82" s="174" t="n">
        <v>2106909803</v>
      </c>
      <c r="H82" s="174" t="n">
        <v>2936001013000000</v>
      </c>
      <c r="I82" s="174" t="n">
        <v>733739076007</v>
      </c>
      <c r="J82" s="57" t="inlineStr">
        <is>
          <t>в наличии</t>
        </is>
      </c>
      <c r="K82" s="60" t="n"/>
      <c r="L82" s="175" t="n"/>
      <c r="M82" s="176">
        <f>L82*D82</f>
        <v/>
      </c>
      <c r="N82" s="11" t="n"/>
    </row>
    <row r="83" ht="15.6" customFormat="1" customHeight="1" s="7">
      <c r="A83" s="5" t="n">
        <v>82</v>
      </c>
      <c r="B83" s="17" t="inlineStr">
        <is>
          <t>N F</t>
        </is>
      </c>
      <c r="C83" s="178" t="inlineStr">
        <is>
          <t>Эфирные масла, чайное дерево,  30 мл</t>
        </is>
      </c>
      <c r="D83" s="76" t="n">
        <v>134000</v>
      </c>
      <c r="E83" s="54" t="n">
        <v>24</v>
      </c>
      <c r="F83" s="55" t="inlineStr">
        <is>
          <t xml:space="preserve">4 года </t>
        </is>
      </c>
      <c r="G83" s="174" t="n">
        <v>2106909803</v>
      </c>
      <c r="H83" s="174" t="n">
        <v>2936001013000000</v>
      </c>
      <c r="I83" s="174" t="n">
        <v>733739076250</v>
      </c>
      <c r="J83" s="57" t="inlineStr">
        <is>
          <t>в наличии</t>
        </is>
      </c>
      <c r="K83" s="60" t="n"/>
      <c r="L83" s="175" t="n"/>
      <c r="M83" s="176">
        <f>L83*D83</f>
        <v/>
      </c>
      <c r="N83" s="11" t="n"/>
    </row>
    <row r="84" ht="15.6" customFormat="1" customHeight="1" s="7">
      <c r="A84" s="5" t="n">
        <v>83</v>
      </c>
      <c r="B84" s="17" t="inlineStr">
        <is>
          <t>N F</t>
        </is>
      </c>
      <c r="C84" s="178" t="inlineStr">
        <is>
          <t>Эфирные масла, эвкалипт лимонный,  30 мл</t>
        </is>
      </c>
      <c r="D84" s="76" t="n">
        <v>81000</v>
      </c>
      <c r="E84" s="54" t="n">
        <v>24</v>
      </c>
      <c r="F84" s="55" t="inlineStr">
        <is>
          <t xml:space="preserve">4 года </t>
        </is>
      </c>
      <c r="G84" s="174" t="n">
        <v>2106909803</v>
      </c>
      <c r="H84" s="174" t="n">
        <v>2936001013000000</v>
      </c>
      <c r="I84" s="174" t="n">
        <v>733739074102</v>
      </c>
      <c r="J84" s="57" t="inlineStr">
        <is>
          <t>в наличии</t>
        </is>
      </c>
      <c r="K84" s="60" t="n"/>
      <c r="L84" s="175" t="n"/>
      <c r="M84" s="176">
        <f>L84*D84</f>
        <v/>
      </c>
      <c r="N84" s="11" t="n"/>
    </row>
    <row r="85" ht="19.2" customFormat="1" customHeight="1" s="29">
      <c r="A85" s="24" t="n"/>
      <c r="B85" s="156" t="n"/>
      <c r="C85" s="157" t="inlineStr">
        <is>
          <t>Витамины БАД  CALIFORNIA GOLD Nutrition  (США)</t>
        </is>
      </c>
      <c r="D85" s="158" t="n"/>
      <c r="E85" s="159" t="n"/>
      <c r="F85" s="160" t="n"/>
      <c r="G85" s="160" t="n"/>
      <c r="H85" s="160" t="n"/>
      <c r="I85" s="160" t="n"/>
      <c r="J85" s="159" t="n"/>
      <c r="K85" s="161" t="n"/>
      <c r="L85" s="180" t="n"/>
      <c r="M85" s="180" t="n"/>
    </row>
    <row r="86" ht="15.6" customFormat="1" customHeight="1" s="7">
      <c r="A86" s="5" t="n">
        <v>84</v>
      </c>
      <c r="B86" s="156" t="inlineStr">
        <is>
          <t>CGN</t>
        </is>
      </c>
      <c r="C86" s="178" t="inlineStr">
        <is>
          <t>Витамин C  1000 мг,  60 растительных капсул</t>
        </is>
      </c>
      <c r="D86" s="76" t="n">
        <v>107000</v>
      </c>
      <c r="E86" s="54" t="n">
        <v>48</v>
      </c>
      <c r="F86" s="55" t="inlineStr">
        <is>
          <t xml:space="preserve">3 года </t>
        </is>
      </c>
      <c r="G86" s="174" t="n">
        <v>2106909803</v>
      </c>
      <c r="H86" s="174" t="n">
        <v>2936001013000000</v>
      </c>
      <c r="I86" s="174" t="n">
        <v>898220009312</v>
      </c>
      <c r="J86" s="57" t="inlineStr">
        <is>
          <t>в наличии</t>
        </is>
      </c>
      <c r="K86" s="60" t="n"/>
      <c r="L86" s="175" t="n"/>
      <c r="M86" s="176">
        <f>L86*D86</f>
        <v/>
      </c>
      <c r="N86" s="11" t="n"/>
    </row>
    <row r="87" ht="15.6" customFormat="1" customHeight="1" s="7">
      <c r="A87" s="5" t="n">
        <v>85</v>
      </c>
      <c r="B87" s="156" t="inlineStr">
        <is>
          <t>CGN</t>
        </is>
      </c>
      <c r="C87" s="178" t="inlineStr">
        <is>
          <t>Витамин Д-3 2000  50 мкг, 90 капсул из рыбьего желатина</t>
        </is>
      </c>
      <c r="D87" s="76" t="n">
        <v>87000</v>
      </c>
      <c r="E87" s="54" t="n"/>
      <c r="F87" s="55" t="inlineStr">
        <is>
          <t xml:space="preserve">2 года </t>
        </is>
      </c>
      <c r="G87" s="174" t="n">
        <v>2106909803</v>
      </c>
      <c r="H87" s="174" t="n">
        <v>2936001013000000</v>
      </c>
      <c r="I87" s="174" t="n"/>
      <c r="J87" s="57" t="inlineStr">
        <is>
          <t>в наличии</t>
        </is>
      </c>
      <c r="K87" s="60" t="n"/>
      <c r="L87" s="175" t="n"/>
      <c r="M87" s="176" t="n"/>
      <c r="N87" s="11" t="n"/>
    </row>
    <row r="88" ht="15.6" customFormat="1" customHeight="1" s="7">
      <c r="A88" s="5" t="n">
        <v>86</v>
      </c>
      <c r="B88" s="156" t="inlineStr">
        <is>
          <t>CGN</t>
        </is>
      </c>
      <c r="C88" s="178" t="inlineStr">
        <is>
          <t>Витамин Д-3 5000  125 мкг, 90 капсул из рыбьего желатина</t>
        </is>
      </c>
      <c r="D88" s="76" t="n">
        <v>99000</v>
      </c>
      <c r="E88" s="54" t="n">
        <v>162</v>
      </c>
      <c r="F88" s="55" t="inlineStr">
        <is>
          <t xml:space="preserve">3 года </t>
        </is>
      </c>
      <c r="G88" s="174" t="n">
        <v>2106909803</v>
      </c>
      <c r="H88" s="174" t="n">
        <v>2936001013000000</v>
      </c>
      <c r="I88" s="174" t="n">
        <v>898220010653</v>
      </c>
      <c r="J88" s="57" t="inlineStr">
        <is>
          <t>в наличии</t>
        </is>
      </c>
      <c r="K88" s="60" t="n"/>
      <c r="L88" s="175" t="n"/>
      <c r="M88" s="176">
        <f>L88*D88</f>
        <v/>
      </c>
      <c r="N88" s="11" t="n"/>
    </row>
    <row r="89" ht="15.6" customFormat="1" customHeight="1" s="7">
      <c r="A89" s="5" t="n">
        <v>87</v>
      </c>
      <c r="B89" s="156" t="inlineStr">
        <is>
          <t>CGN</t>
        </is>
      </c>
      <c r="C89" s="178" t="inlineStr">
        <is>
          <t>Витамин Д-3 для детей в каплях, 10 мкг (400 МЕ),  10 мл</t>
        </is>
      </c>
      <c r="D89" s="76" t="n">
        <v>118000</v>
      </c>
      <c r="E89" s="54" t="n">
        <v>96</v>
      </c>
      <c r="F89" s="55" t="inlineStr">
        <is>
          <t xml:space="preserve">3 года </t>
        </is>
      </c>
      <c r="G89" s="174" t="n">
        <v>2106909803</v>
      </c>
      <c r="H89" s="174" t="n">
        <v>2936001013000000</v>
      </c>
      <c r="I89" s="174" t="n">
        <v>898220010349</v>
      </c>
      <c r="J89" s="57" t="inlineStr">
        <is>
          <t>в наличии</t>
        </is>
      </c>
      <c r="K89" s="60" t="n"/>
      <c r="L89" s="175" t="n"/>
      <c r="M89" s="176" t="n"/>
      <c r="N89" s="11" t="n"/>
    </row>
    <row r="90" ht="15.6" customFormat="1" customHeight="1" s="7">
      <c r="A90" s="5" t="n">
        <v>88</v>
      </c>
      <c r="B90" s="156" t="inlineStr">
        <is>
          <t>CGN</t>
        </is>
      </c>
      <c r="C90" s="178" t="inlineStr">
        <is>
          <t>Probiotic  5 млрд,  60 растительных капсул</t>
        </is>
      </c>
      <c r="D90" s="76" t="n">
        <v>178000</v>
      </c>
      <c r="E90" s="54" t="n">
        <v>30</v>
      </c>
      <c r="F90" s="55" t="inlineStr">
        <is>
          <t xml:space="preserve">2 года </t>
        </is>
      </c>
      <c r="G90" s="174" t="n">
        <v>2106909803</v>
      </c>
      <c r="H90" s="174" t="n">
        <v>2936001013000000</v>
      </c>
      <c r="I90" s="174" t="n">
        <v>898220009633</v>
      </c>
      <c r="J90" s="57" t="inlineStr">
        <is>
          <t>в наличии</t>
        </is>
      </c>
      <c r="K90" s="60" t="n"/>
      <c r="L90" s="175" t="n"/>
      <c r="M90" s="176" t="n"/>
      <c r="N90" s="11" t="n"/>
    </row>
    <row r="91" ht="15.6" customFormat="1" customHeight="1" s="7">
      <c r="A91" s="5" t="n">
        <v>89</v>
      </c>
      <c r="B91" s="156" t="inlineStr">
        <is>
          <t>CGN</t>
        </is>
      </c>
      <c r="C91" s="178" t="inlineStr">
        <is>
          <t>Probiotic  30 млрд,  60 растительных капсул</t>
        </is>
      </c>
      <c r="D91" s="76" t="n">
        <v>359000</v>
      </c>
      <c r="E91" s="54" t="n">
        <v>30</v>
      </c>
      <c r="F91" s="55" t="inlineStr">
        <is>
          <t xml:space="preserve">2 года </t>
        </is>
      </c>
      <c r="G91" s="174" t="n">
        <v>2106909803</v>
      </c>
      <c r="H91" s="174" t="n">
        <v>2936001013000000</v>
      </c>
      <c r="I91" s="174" t="n">
        <v>898220009657</v>
      </c>
      <c r="J91" s="57" t="inlineStr">
        <is>
          <t>в наличии</t>
        </is>
      </c>
      <c r="K91" s="60" t="n"/>
      <c r="L91" s="175" t="n"/>
      <c r="M91" s="176" t="n"/>
      <c r="N91" s="11" t="n"/>
    </row>
    <row r="92" ht="15.6" customFormat="1" customHeight="1" s="7">
      <c r="A92" s="5" t="n">
        <v>90</v>
      </c>
      <c r="B92" s="156" t="inlineStr">
        <is>
          <t>CGN</t>
        </is>
      </c>
      <c r="C92" s="178" t="inlineStr">
        <is>
          <t>CollagenUP  гидролизованные коллагена в виде порошка с витамином C, 206 г</t>
        </is>
      </c>
      <c r="D92" s="76" t="n">
        <v>256000</v>
      </c>
      <c r="E92" s="54" t="n">
        <v>20</v>
      </c>
      <c r="F92" s="55" t="inlineStr">
        <is>
          <t xml:space="preserve">2 года </t>
        </is>
      </c>
      <c r="G92" s="174" t="n">
        <v>2106909803</v>
      </c>
      <c r="H92" s="174" t="n">
        <v>2936001013000000</v>
      </c>
      <c r="I92" s="174" t="n">
        <v>608274102002</v>
      </c>
      <c r="J92" s="57" t="inlineStr">
        <is>
          <t>в наличии</t>
        </is>
      </c>
      <c r="K92" s="60" t="n"/>
      <c r="L92" s="175" t="n"/>
      <c r="M92" s="176" t="n"/>
      <c r="N92" s="11" t="n"/>
    </row>
    <row r="93" ht="19.2" customFormat="1" customHeight="1" s="29">
      <c r="A93" s="24" t="n"/>
      <c r="B93" s="128" t="n"/>
      <c r="C93" s="129" t="inlineStr">
        <is>
          <t>Витамины БАД  NATURES PLUS  (США)</t>
        </is>
      </c>
      <c r="D93" s="130" t="n"/>
      <c r="E93" s="131" t="n"/>
      <c r="F93" s="132" t="n"/>
      <c r="G93" s="132" t="n"/>
      <c r="H93" s="132" t="n"/>
      <c r="I93" s="132" t="n"/>
      <c r="J93" s="131" t="n"/>
      <c r="K93" s="27" t="n"/>
      <c r="L93" s="181" t="n"/>
      <c r="M93" s="181" t="n"/>
    </row>
    <row r="94" ht="15.6" customFormat="1" customHeight="1" s="7">
      <c r="A94" s="5" t="n">
        <v>91</v>
      </c>
      <c r="B94" s="128" t="inlineStr">
        <is>
          <t>N P</t>
        </is>
      </c>
      <c r="C94" s="178" t="inlineStr">
        <is>
          <t>NaturesPlus, Hema-Plex®, железо  30 таблеток медленного высвобождения</t>
        </is>
      </c>
      <c r="D94" s="76" t="n">
        <v>175000</v>
      </c>
      <c r="E94" s="54" t="n">
        <v>6</v>
      </c>
      <c r="F94" s="55" t="inlineStr">
        <is>
          <t xml:space="preserve">4 года </t>
        </is>
      </c>
      <c r="G94" s="174" t="n">
        <v>2106909803</v>
      </c>
      <c r="H94" s="174" t="n">
        <v>2936001013000000</v>
      </c>
      <c r="I94" s="174" t="n">
        <v>97467037700</v>
      </c>
      <c r="J94" s="57" t="inlineStr">
        <is>
          <t>в наличии</t>
        </is>
      </c>
      <c r="K94" s="60" t="n"/>
      <c r="L94" s="175" t="n"/>
      <c r="M94" s="176" t="n"/>
      <c r="N94" s="11" t="n"/>
    </row>
    <row r="95" ht="15.6" customFormat="1" customHeight="1" s="7">
      <c r="A95" s="5" t="n">
        <v>92</v>
      </c>
      <c r="B95" s="128" t="inlineStr">
        <is>
          <t>N P</t>
        </is>
      </c>
      <c r="C95" s="178" t="inlineStr">
        <is>
          <t>NaturesPlus, Hema-Plex®, железо  60 быстродействующих капсул</t>
        </is>
      </c>
      <c r="D95" s="76" t="n">
        <v>242000</v>
      </c>
      <c r="E95" s="54" t="n">
        <v>42</v>
      </c>
      <c r="F95" s="55" t="inlineStr">
        <is>
          <t xml:space="preserve">4 года </t>
        </is>
      </c>
      <c r="G95" s="174" t="n">
        <v>2106909803</v>
      </c>
      <c r="H95" s="174" t="n">
        <v>2936001013000000</v>
      </c>
      <c r="I95" s="174" t="n">
        <v>97467037724</v>
      </c>
      <c r="J95" s="57" t="inlineStr">
        <is>
          <t>в наличии</t>
        </is>
      </c>
      <c r="K95" s="60" t="n"/>
      <c r="L95" s="175" t="n"/>
      <c r="M95" s="176" t="n"/>
      <c r="N95" s="11" t="n"/>
    </row>
    <row r="96" ht="27.6" customFormat="1" customHeight="1" s="7">
      <c r="A96" s="5" t="n">
        <v>93</v>
      </c>
      <c r="B96" s="128" t="inlineStr">
        <is>
          <t>N P</t>
        </is>
      </c>
      <c r="C96" s="173" t="inlineStr">
        <is>
          <t>NaturesPlus, Hema-Plex, жевательная добавка с железом, с ягодным вкусом  60 жевательных таблеток</t>
        </is>
      </c>
      <c r="D96" s="76" t="n">
        <v>180000</v>
      </c>
      <c r="E96" s="54" t="n">
        <v>42</v>
      </c>
      <c r="F96" s="55" t="inlineStr">
        <is>
          <t xml:space="preserve">3 года </t>
        </is>
      </c>
      <c r="G96" s="174" t="n">
        <v>2106909803</v>
      </c>
      <c r="H96" s="174" t="n">
        <v>2936001013000000</v>
      </c>
      <c r="I96" s="174" t="n">
        <v>97467037687</v>
      </c>
      <c r="J96" s="57" t="inlineStr">
        <is>
          <t>в наличии</t>
        </is>
      </c>
      <c r="K96" s="60" t="n"/>
      <c r="L96" s="175" t="n"/>
      <c r="M96" s="176" t="n"/>
      <c r="N96" s="11" t="n"/>
    </row>
    <row r="97" ht="27.6" customFormat="1" customHeight="1" s="7">
      <c r="A97" s="5" t="n">
        <v>94</v>
      </c>
      <c r="B97" s="128" t="inlineStr">
        <is>
          <t>N P</t>
        </is>
      </c>
      <c r="C97" s="173" t="inlineStr">
        <is>
          <t>NaturesPlus, Hema-Plex®, жидкое железо и необходимые питательные вещества, ягодный вкус  250 мл</t>
        </is>
      </c>
      <c r="D97" s="76" t="n">
        <v>328000</v>
      </c>
      <c r="E97" s="54" t="n">
        <v>12</v>
      </c>
      <c r="F97" s="55" t="inlineStr">
        <is>
          <t xml:space="preserve">3 года </t>
        </is>
      </c>
      <c r="G97" s="174" t="n">
        <v>2106909803</v>
      </c>
      <c r="H97" s="174" t="n">
        <v>2936001013000000</v>
      </c>
      <c r="I97" s="174" t="n">
        <v>97467376878</v>
      </c>
      <c r="J97" s="57" t="inlineStr">
        <is>
          <t>в наличии</t>
        </is>
      </c>
      <c r="K97" s="60" t="n"/>
      <c r="L97" s="175" t="n"/>
      <c r="M97" s="176" t="n"/>
      <c r="N97" s="11" t="n"/>
    </row>
    <row r="98" ht="15.6" customFormat="1" customHeight="1" s="7">
      <c r="A98" s="5" t="n">
        <v>95</v>
      </c>
      <c r="B98" s="128" t="inlineStr">
        <is>
          <t>N P</t>
        </is>
      </c>
      <c r="C98" s="178" t="inlineStr">
        <is>
          <t>NaturesPlus, Пептиды коллагена  294 г</t>
        </is>
      </c>
      <c r="D98" s="76" t="n">
        <v>430000</v>
      </c>
      <c r="E98" s="54" t="n">
        <v>15</v>
      </c>
      <c r="F98" s="55" t="inlineStr">
        <is>
          <t xml:space="preserve">4 года </t>
        </is>
      </c>
      <c r="G98" s="174" t="n">
        <v>2106909803</v>
      </c>
      <c r="H98" s="174" t="n">
        <v>2936001013000000</v>
      </c>
      <c r="I98" s="174" t="n">
        <v>97467459618</v>
      </c>
      <c r="J98" s="57" t="inlineStr">
        <is>
          <t>в наличии</t>
        </is>
      </c>
      <c r="K98" s="60" t="n"/>
      <c r="L98" s="175" t="n"/>
      <c r="M98" s="176" t="n"/>
      <c r="N98" s="11" t="n"/>
    </row>
    <row r="99" ht="15.6" customFormat="1" customHeight="1" s="7">
      <c r="A99" s="5" t="n">
        <v>96</v>
      </c>
      <c r="B99" s="128" t="inlineStr">
        <is>
          <t>N P</t>
        </is>
      </c>
      <c r="C99" s="178" t="inlineStr">
        <is>
          <t>NaturesPlus, Пептиды коллагена, ваниль  364 г</t>
        </is>
      </c>
      <c r="D99" s="76" t="n">
        <v>440000</v>
      </c>
      <c r="E99" s="54" t="n">
        <v>12</v>
      </c>
      <c r="F99" s="55" t="inlineStr">
        <is>
          <t xml:space="preserve">4 года </t>
        </is>
      </c>
      <c r="G99" s="174" t="n">
        <v>2106909803</v>
      </c>
      <c r="H99" s="174" t="n">
        <v>2936001013000000</v>
      </c>
      <c r="I99" s="174" t="n">
        <v>97467459663</v>
      </c>
      <c r="J99" s="57" t="inlineStr">
        <is>
          <t>в наличии</t>
        </is>
      </c>
      <c r="K99" s="60" t="n"/>
      <c r="L99" s="175" t="n"/>
      <c r="M99" s="176" t="n"/>
      <c r="N99" s="11" t="n"/>
    </row>
    <row r="100" ht="15.6" customFormat="1" customHeight="1" s="7">
      <c r="A100" s="5" t="n">
        <v>97</v>
      </c>
      <c r="B100" s="128" t="inlineStr">
        <is>
          <t>N P</t>
        </is>
      </c>
      <c r="C100" s="178" t="inlineStr">
        <is>
          <t>NaturesPlus, Коллагеновые пептиды, шоколадные  378 г</t>
        </is>
      </c>
      <c r="D100" s="76" t="n">
        <v>440000</v>
      </c>
      <c r="E100" s="54" t="n">
        <v>12</v>
      </c>
      <c r="F100" s="55" t="inlineStr">
        <is>
          <t xml:space="preserve">4 года </t>
        </is>
      </c>
      <c r="G100" s="174" t="n">
        <v>2106909803</v>
      </c>
      <c r="H100" s="174" t="n">
        <v>2936001013000000</v>
      </c>
      <c r="I100" s="174" t="n">
        <v>97467459670</v>
      </c>
      <c r="J100" s="57" t="inlineStr">
        <is>
          <t>в наличии</t>
        </is>
      </c>
      <c r="K100" s="60" t="n"/>
      <c r="L100" s="175" t="n"/>
      <c r="M100" s="176" t="n"/>
      <c r="N100" s="11" t="n"/>
    </row>
    <row r="101" ht="27.6" customFormat="1" customHeight="1" s="7">
      <c r="A101" s="5" t="n">
        <v>98</v>
      </c>
      <c r="B101" s="128" t="inlineStr">
        <is>
          <t>N P</t>
        </is>
      </c>
      <c r="C101" s="173" t="inlineStr">
        <is>
          <t>NaturesPlus, MagKidz®, Animal Parade®  жевательный магний для детей, вишня  90 таблеток в форме животных (50 мг в 1 таблетке)</t>
        </is>
      </c>
      <c r="D101" s="76" t="n">
        <v>209000</v>
      </c>
      <c r="E101" s="54" t="n">
        <v>42</v>
      </c>
      <c r="F101" s="55" t="inlineStr">
        <is>
          <t xml:space="preserve">3 года </t>
        </is>
      </c>
      <c r="G101" s="174" t="n">
        <v>2106909803</v>
      </c>
      <c r="H101" s="174" t="n">
        <v>2936001013000000</v>
      </c>
      <c r="I101" s="174" t="n">
        <v>97467299429</v>
      </c>
      <c r="J101" s="57" t="inlineStr">
        <is>
          <t>в наличии</t>
        </is>
      </c>
      <c r="K101" s="60" t="n"/>
      <c r="L101" s="175" t="n"/>
      <c r="M101" s="176" t="n"/>
      <c r="N101" s="11" t="n"/>
    </row>
    <row r="102" ht="15.6" customFormat="1" customHeight="1" s="7">
      <c r="A102" s="5" t="n">
        <v>99</v>
      </c>
      <c r="B102" s="128" t="inlineStr">
        <is>
          <t>N P</t>
        </is>
      </c>
      <c r="C102" s="178" t="inlineStr">
        <is>
          <t>NaturesPlus, Animal Parade®, Mag Kidz® магний для детей со вкусом вишни  171 г</t>
        </is>
      </c>
      <c r="D102" s="76" t="n">
        <v>230000</v>
      </c>
      <c r="E102" s="54" t="n">
        <v>27</v>
      </c>
      <c r="F102" s="55" t="inlineStr">
        <is>
          <t xml:space="preserve">4 года </t>
        </is>
      </c>
      <c r="G102" s="174" t="n">
        <v>2106909803</v>
      </c>
      <c r="H102" s="174" t="n">
        <v>2936001013000000</v>
      </c>
      <c r="I102" s="174" t="n">
        <v>97467299436</v>
      </c>
      <c r="J102" s="57" t="inlineStr">
        <is>
          <t>в наличии</t>
        </is>
      </c>
      <c r="K102" s="60" t="n"/>
      <c r="L102" s="175" t="n"/>
      <c r="M102" s="176" t="n"/>
      <c r="N102" s="11" t="n"/>
    </row>
    <row r="103" ht="27.6" customFormat="1" customHeight="1" s="7">
      <c r="A103" s="5" t="n">
        <v>100</v>
      </c>
      <c r="B103" s="128" t="inlineStr">
        <is>
          <t>N P</t>
        </is>
      </c>
      <c r="C103" s="173" t="inlineStr">
        <is>
          <t>NaturesPlus, Animal Parade® Gold, жевательные мультивитамины для детей, со вкусом вишни, винограда и апельсина  60 таблеток в форме животных</t>
        </is>
      </c>
      <c r="D103" s="76" t="n">
        <v>241000</v>
      </c>
      <c r="E103" s="54" t="n">
        <v>42</v>
      </c>
      <c r="F103" s="55" t="inlineStr">
        <is>
          <t xml:space="preserve">3 года </t>
        </is>
      </c>
      <c r="G103" s="174" t="n">
        <v>2106909803</v>
      </c>
      <c r="H103" s="174" t="n">
        <v>2936001013000000</v>
      </c>
      <c r="I103" s="174" t="n">
        <v>97467299276</v>
      </c>
      <c r="J103" s="57" t="inlineStr">
        <is>
          <t>в наличии</t>
        </is>
      </c>
      <c r="K103" s="60" t="n"/>
      <c r="L103" s="175" t="n"/>
      <c r="M103" s="176" t="n"/>
      <c r="N103" s="11" t="n"/>
    </row>
    <row r="104" ht="27.6" customFormat="1" customHeight="1" s="7">
      <c r="A104" s="5" t="n">
        <v>101</v>
      </c>
      <c r="B104" s="128" t="inlineStr">
        <is>
          <t>N P</t>
        </is>
      </c>
      <c r="C104" s="173" t="inlineStr">
        <is>
          <t>NaturesPlus, Animal Parade®, жевательные мультивитамины для детей, со вкусом вишни, винограда и апельсина  90 таблеток в форме животных</t>
        </is>
      </c>
      <c r="D104" s="76" t="n">
        <v>247000</v>
      </c>
      <c r="E104" s="54" t="n">
        <v>42</v>
      </c>
      <c r="F104" s="55" t="inlineStr">
        <is>
          <t xml:space="preserve">3 года </t>
        </is>
      </c>
      <c r="G104" s="174" t="n">
        <v>2106909803</v>
      </c>
      <c r="H104" s="174" t="n">
        <v>2936001013000000</v>
      </c>
      <c r="I104" s="174" t="n">
        <v>97467299801</v>
      </c>
      <c r="J104" s="57" t="inlineStr">
        <is>
          <t>в наличии</t>
        </is>
      </c>
      <c r="K104" s="60" t="n"/>
      <c r="L104" s="175" t="n"/>
      <c r="M104" s="176" t="n"/>
      <c r="N104" s="11" t="n"/>
    </row>
    <row r="105" ht="27.6" customFormat="1" customHeight="1" s="7">
      <c r="A105" s="5" t="n">
        <v>102</v>
      </c>
      <c r="B105" s="128" t="inlineStr">
        <is>
          <t>N P</t>
        </is>
      </c>
      <c r="C105" s="173" t="inlineStr">
        <is>
          <t>NaturesPlus, Animal Parade® Gold, жевательные мультивитамины для детей, со вкусом вишни, винограда и апельсина, 120 таблеток в форме животных</t>
        </is>
      </c>
      <c r="D105" s="76" t="n">
        <v>409000</v>
      </c>
      <c r="E105" s="54" t="n">
        <v>30</v>
      </c>
      <c r="F105" s="55" t="inlineStr">
        <is>
          <t xml:space="preserve">3 года </t>
        </is>
      </c>
      <c r="G105" s="174" t="n">
        <v>2106909803</v>
      </c>
      <c r="H105" s="174" t="n">
        <v>2936001013000000</v>
      </c>
      <c r="I105" s="174" t="n">
        <v>97467299283</v>
      </c>
      <c r="J105" s="57" t="inlineStr">
        <is>
          <t>в наличии</t>
        </is>
      </c>
      <c r="K105" s="60" t="n"/>
      <c r="L105" s="175" t="n"/>
      <c r="M105" s="176" t="n"/>
      <c r="N105" s="11" t="n"/>
    </row>
    <row r="106" ht="27.6" customFormat="1" customHeight="1" s="7">
      <c r="A106" s="5" t="n">
        <v>103</v>
      </c>
      <c r="B106" s="128" t="inlineStr">
        <is>
          <t>N P</t>
        </is>
      </c>
      <c r="C106" s="173" t="inlineStr">
        <is>
          <t>NaturesPlus, Animal Parade®, жевательные мультивитамины для детей, вишня, виноград и апельсин  180 таблеток в форме животных</t>
        </is>
      </c>
      <c r="D106" s="76" t="n">
        <v>441000</v>
      </c>
      <c r="E106" s="54" t="n">
        <v>27</v>
      </c>
      <c r="F106" s="55" t="inlineStr">
        <is>
          <t xml:space="preserve">3 года </t>
        </is>
      </c>
      <c r="G106" s="174" t="n">
        <v>2106909803</v>
      </c>
      <c r="H106" s="174" t="n">
        <v>2936001013000000</v>
      </c>
      <c r="I106" s="174" t="n">
        <v>97467299825</v>
      </c>
      <c r="J106" s="57" t="inlineStr">
        <is>
          <t>в наличии</t>
        </is>
      </c>
      <c r="K106" s="60" t="n"/>
      <c r="L106" s="175" t="n"/>
      <c r="M106" s="176" t="n"/>
      <c r="N106" s="11" t="n"/>
    </row>
    <row r="107" ht="27.6" customFormat="1" customHeight="1" s="7">
      <c r="A107" s="5" t="n">
        <v>104</v>
      </c>
      <c r="B107" s="128" t="inlineStr">
        <is>
          <t>N P</t>
        </is>
      </c>
      <c r="C107" s="173" t="inlineStr">
        <is>
          <t>NaturesPlus, Animal Parade®, жевательные мультивитамины для детей, со вкусом арбуза  180 таблеток в форме животных</t>
        </is>
      </c>
      <c r="D107" s="76" t="n">
        <v>441000</v>
      </c>
      <c r="E107" s="54" t="n">
        <v>27</v>
      </c>
      <c r="F107" s="55" t="inlineStr">
        <is>
          <t xml:space="preserve">3 года </t>
        </is>
      </c>
      <c r="G107" s="174" t="n">
        <v>2106909803</v>
      </c>
      <c r="H107" s="174" t="n">
        <v>2936001013000000</v>
      </c>
      <c r="I107" s="174" t="n">
        <v>97467299931</v>
      </c>
      <c r="J107" s="57" t="inlineStr">
        <is>
          <t>в наличии</t>
        </is>
      </c>
      <c r="K107" s="60" t="n"/>
      <c r="L107" s="175" t="n"/>
      <c r="M107" s="176" t="n"/>
      <c r="N107" s="11" t="n"/>
    </row>
    <row r="108" ht="19.2" customFormat="1" customHeight="1" s="29">
      <c r="A108" s="24" t="n"/>
      <c r="B108" s="19" t="n"/>
      <c r="C108" s="86" t="inlineStr">
        <is>
          <t>Витамины БАД CHILD LIFE  (США)</t>
        </is>
      </c>
      <c r="D108" s="78" t="n"/>
      <c r="E108" s="34" t="n"/>
      <c r="F108" s="35" t="n"/>
      <c r="G108" s="35" t="n"/>
      <c r="H108" s="35" t="n"/>
      <c r="I108" s="35" t="n"/>
      <c r="J108" s="34" t="n"/>
      <c r="K108" s="27" t="n"/>
      <c r="L108" s="182" t="n"/>
      <c r="M108" s="182" t="n"/>
    </row>
    <row r="109" ht="15.6" customFormat="1" customHeight="1" s="7">
      <c r="A109" s="5" t="n">
        <v>105</v>
      </c>
      <c r="B109" s="19" t="inlineStr">
        <is>
          <t>CH L</t>
        </is>
      </c>
      <c r="C109" s="178" t="inlineStr">
        <is>
          <t>Витамин C  в жидкой форме, натуральный апельсиновый вкус,  118,5 мл</t>
        </is>
      </c>
      <c r="D109" s="76" t="n">
        <v>117000</v>
      </c>
      <c r="E109" s="54" t="n">
        <v>12</v>
      </c>
      <c r="F109" s="55" t="inlineStr">
        <is>
          <t xml:space="preserve">2 года </t>
        </is>
      </c>
      <c r="G109" s="174" t="n">
        <v>2106909803</v>
      </c>
      <c r="H109" s="174" t="n">
        <v>2936001013000000</v>
      </c>
      <c r="I109" s="174" t="n">
        <v>608274102002</v>
      </c>
      <c r="J109" s="57" t="inlineStr">
        <is>
          <t>в наличии</t>
        </is>
      </c>
      <c r="K109" s="60" t="n"/>
      <c r="L109" s="175" t="n"/>
      <c r="M109" s="176">
        <f>L109*D109</f>
        <v/>
      </c>
      <c r="N109" s="11" t="n"/>
    </row>
    <row r="110" ht="15.6" customFormat="1" customHeight="1" s="7">
      <c r="A110" s="5" t="n">
        <v>106</v>
      </c>
      <c r="B110" s="19" t="inlineStr">
        <is>
          <t>CH L</t>
        </is>
      </c>
      <c r="C110" s="178" t="inlineStr">
        <is>
          <t xml:space="preserve">Цинк  плюс, натуральный вкус манго и клубники,  118 мл </t>
        </is>
      </c>
      <c r="D110" s="76" t="n">
        <v>123000</v>
      </c>
      <c r="E110" s="54" t="n">
        <v>12</v>
      </c>
      <c r="F110" s="55" t="inlineStr">
        <is>
          <t xml:space="preserve">3 года </t>
        </is>
      </c>
      <c r="G110" s="174" t="n">
        <v>2106909803</v>
      </c>
      <c r="H110" s="174" t="n">
        <v>2936001013000000</v>
      </c>
      <c r="I110" s="174" t="n">
        <v>608274103504</v>
      </c>
      <c r="J110" s="57" t="inlineStr">
        <is>
          <t>в наличии</t>
        </is>
      </c>
      <c r="K110" s="60" t="n"/>
      <c r="L110" s="175" t="n"/>
      <c r="M110" s="176">
        <f>L110*D110</f>
        <v/>
      </c>
      <c r="N110" s="11" t="n"/>
    </row>
    <row r="111" ht="15.6" customFormat="1" customHeight="1" s="7">
      <c r="A111" s="5" t="n">
        <v>107</v>
      </c>
      <c r="B111" s="19" t="inlineStr">
        <is>
          <t>CH L</t>
        </is>
      </c>
      <c r="C111" s="178" t="inlineStr">
        <is>
          <t>Мультивитамины и минералы, натуральный вкус апельсина и манго,  237 мл</t>
        </is>
      </c>
      <c r="D111" s="76" t="n">
        <v>240000</v>
      </c>
      <c r="E111" s="54" t="n">
        <v>12</v>
      </c>
      <c r="F111" s="55" t="inlineStr">
        <is>
          <t xml:space="preserve">2 года </t>
        </is>
      </c>
      <c r="G111" s="174" t="n">
        <v>2106909803</v>
      </c>
      <c r="H111" s="174" t="n">
        <v>2936001013000000</v>
      </c>
      <c r="I111" s="174" t="n">
        <v>608274103009</v>
      </c>
      <c r="J111" s="57" t="inlineStr">
        <is>
          <t>в наличии</t>
        </is>
      </c>
      <c r="K111" s="60" t="n"/>
      <c r="L111" s="175" t="n"/>
      <c r="M111" s="176">
        <f>L111*D111</f>
        <v/>
      </c>
      <c r="N111" s="11" t="n"/>
    </row>
    <row r="112" ht="21.6" customFormat="1" customHeight="1" s="7">
      <c r="A112" s="5" t="n"/>
      <c r="B112" s="101" t="n"/>
      <c r="C112" s="102" t="inlineStr">
        <is>
          <t>Витамины БАД  LIFE Extension  (США)</t>
        </is>
      </c>
      <c r="D112" s="103" t="n"/>
      <c r="E112" s="104" t="n"/>
      <c r="F112" s="105" t="n"/>
      <c r="G112" s="105" t="n"/>
      <c r="H112" s="183" t="n"/>
      <c r="I112" s="183" t="n"/>
      <c r="J112" s="107" t="n"/>
      <c r="K112" s="60" t="n"/>
      <c r="L112" s="184" t="n"/>
      <c r="M112" s="185" t="n"/>
      <c r="N112" s="11" t="n"/>
    </row>
    <row r="113" ht="15.6" customFormat="1" customHeight="1" s="7">
      <c r="A113" s="5" t="n">
        <v>108</v>
      </c>
      <c r="B113" s="101" t="inlineStr">
        <is>
          <t>L E</t>
        </is>
      </c>
      <c r="C113" s="178" t="inlineStr">
        <is>
          <t>Мультивитамины для приема два раза в день,  60 капсул</t>
        </is>
      </c>
      <c r="D113" s="76" t="n">
        <v>185000</v>
      </c>
      <c r="E113" s="54" t="n">
        <v>24</v>
      </c>
      <c r="F113" s="55" t="inlineStr">
        <is>
          <t xml:space="preserve">3 года </t>
        </is>
      </c>
      <c r="G113" s="174" t="n">
        <v>2106909803</v>
      </c>
      <c r="H113" s="174" t="n">
        <v>2936001013000000</v>
      </c>
      <c r="I113" s="174" t="n">
        <v>737870231769</v>
      </c>
      <c r="J113" s="57" t="inlineStr">
        <is>
          <t>в наличии</t>
        </is>
      </c>
      <c r="K113" s="60" t="n"/>
      <c r="L113" s="175" t="n"/>
      <c r="M113" s="176" t="n"/>
      <c r="N113" s="11" t="n"/>
    </row>
    <row r="114" ht="15.6" customFormat="1" customHeight="1" s="7">
      <c r="A114" s="5" t="n">
        <v>109</v>
      </c>
      <c r="B114" s="101" t="inlineStr">
        <is>
          <t>L E</t>
        </is>
      </c>
      <c r="C114" s="178" t="inlineStr">
        <is>
          <t>Мультивитамины для приема два раза в день,  120 капсул</t>
        </is>
      </c>
      <c r="D114" s="76" t="n">
        <v>323000</v>
      </c>
      <c r="E114" s="54" t="n">
        <v>24</v>
      </c>
      <c r="F114" s="55" t="inlineStr">
        <is>
          <t xml:space="preserve">3 года </t>
        </is>
      </c>
      <c r="G114" s="174" t="n">
        <v>2106909803</v>
      </c>
      <c r="H114" s="174" t="n">
        <v>2936001013000000</v>
      </c>
      <c r="I114" s="174" t="n">
        <v>737870231417</v>
      </c>
      <c r="J114" s="57" t="inlineStr">
        <is>
          <t>в наличии</t>
        </is>
      </c>
      <c r="K114" s="60" t="n"/>
      <c r="L114" s="175" t="n"/>
      <c r="M114" s="176" t="n"/>
      <c r="N114" s="11" t="n"/>
    </row>
    <row r="115" ht="15.6" customFormat="1" customHeight="1" s="7">
      <c r="A115" s="5" t="n">
        <v>110</v>
      </c>
      <c r="B115" s="101" t="inlineStr">
        <is>
          <t>L E</t>
        </is>
      </c>
      <c r="C115" s="178" t="inlineStr">
        <is>
          <t>Полный биоактивный комплекс витаминов группы B,  60 капсул</t>
        </is>
      </c>
      <c r="D115" s="76" t="n">
        <v>159000</v>
      </c>
      <c r="E115" s="54" t="n">
        <v>24</v>
      </c>
      <c r="F115" s="55" t="inlineStr">
        <is>
          <t xml:space="preserve">3 года </t>
        </is>
      </c>
      <c r="G115" s="174" t="n">
        <v>2106909803</v>
      </c>
      <c r="H115" s="174" t="n">
        <v>2936001013000000</v>
      </c>
      <c r="I115" s="174" t="n">
        <v>737870194569</v>
      </c>
      <c r="J115" s="57" t="inlineStr">
        <is>
          <t>в наличии</t>
        </is>
      </c>
      <c r="K115" s="60" t="n"/>
      <c r="L115" s="175" t="n"/>
      <c r="M115" s="176" t="n"/>
      <c r="N115" s="11" t="n"/>
    </row>
    <row r="116" ht="15.6" customFormat="1" customHeight="1" s="7">
      <c r="A116" s="5" t="n">
        <v>111</v>
      </c>
      <c r="B116" s="101" t="inlineStr">
        <is>
          <t>L E</t>
        </is>
      </c>
      <c r="C116" s="178" t="inlineStr">
        <is>
          <t>Neuro-Mag®, L-треонат магния порошок тропический пунш, 93,35 г</t>
        </is>
      </c>
      <c r="D116" s="76" t="n">
        <v>415000</v>
      </c>
      <c r="E116" s="54" t="n">
        <v>12</v>
      </c>
      <c r="F116" s="55" t="inlineStr">
        <is>
          <t xml:space="preserve">3 года </t>
        </is>
      </c>
      <c r="G116" s="174" t="n">
        <v>2106909803</v>
      </c>
      <c r="H116" s="174" t="n">
        <v>2936001013000000</v>
      </c>
      <c r="I116" s="174" t="n">
        <v>737870203292</v>
      </c>
      <c r="J116" s="57" t="inlineStr">
        <is>
          <t>в наличии</t>
        </is>
      </c>
      <c r="K116" s="60" t="n"/>
      <c r="L116" s="175" t="n"/>
      <c r="M116" s="176" t="n"/>
      <c r="N116" s="11" t="n"/>
    </row>
    <row r="117" ht="15.6" customFormat="1" customHeight="1" s="7">
      <c r="A117" s="5" t="n">
        <v>112</v>
      </c>
      <c r="B117" s="101" t="inlineStr">
        <is>
          <t>L E</t>
        </is>
      </c>
      <c r="C117" s="178" t="inlineStr">
        <is>
          <t>Neuro-Mag®, L-треонат магния,  90 капсул</t>
        </is>
      </c>
      <c r="D117" s="76" t="n">
        <v>409000</v>
      </c>
      <c r="E117" s="54" t="n">
        <v>24</v>
      </c>
      <c r="F117" s="55" t="inlineStr">
        <is>
          <t xml:space="preserve">3 года </t>
        </is>
      </c>
      <c r="G117" s="174" t="n">
        <v>2106909803</v>
      </c>
      <c r="H117" s="174" t="n">
        <v>2936001013000000</v>
      </c>
      <c r="I117" s="174" t="n">
        <v>737870160397</v>
      </c>
      <c r="J117" s="57" t="inlineStr">
        <is>
          <t>в наличии</t>
        </is>
      </c>
      <c r="K117" s="60" t="n"/>
      <c r="L117" s="175" t="n"/>
      <c r="M117" s="176" t="n"/>
      <c r="N117" s="11" t="n"/>
    </row>
    <row r="118" ht="15.6" customFormat="1" customHeight="1" s="7">
      <c r="A118" s="5" t="n">
        <v>113</v>
      </c>
      <c r="B118" s="101" t="inlineStr">
        <is>
          <t>L E</t>
        </is>
      </c>
      <c r="C118" s="178" t="inlineStr">
        <is>
          <t>Инозитол, 1000 мг,  360 капсул</t>
        </is>
      </c>
      <c r="D118" s="76" t="n">
        <v>599000</v>
      </c>
      <c r="E118" s="54" t="n">
        <v>12</v>
      </c>
      <c r="F118" s="55" t="inlineStr">
        <is>
          <t xml:space="preserve">3 года </t>
        </is>
      </c>
      <c r="G118" s="174" t="n">
        <v>2106909803</v>
      </c>
      <c r="H118" s="174" t="n">
        <v>2936001013000000</v>
      </c>
      <c r="I118" s="174" t="n">
        <v>737870167433</v>
      </c>
      <c r="J118" s="57" t="inlineStr">
        <is>
          <t>в наличии</t>
        </is>
      </c>
      <c r="K118" s="60" t="n"/>
      <c r="L118" s="175" t="n"/>
      <c r="M118" s="176" t="n"/>
      <c r="N118" s="11" t="n"/>
    </row>
    <row r="119" ht="15.6" customFormat="1" customHeight="1" s="7">
      <c r="A119" s="5" t="n">
        <v>114</v>
      </c>
      <c r="B119" s="101" t="inlineStr">
        <is>
          <t>L E</t>
        </is>
      </c>
      <c r="C119" s="178" t="inlineStr">
        <is>
          <t>Суперкомплекс с Селеном и витамином Е,  100 капсул</t>
        </is>
      </c>
      <c r="D119" s="76" t="n">
        <v>147000</v>
      </c>
      <c r="E119" s="54" t="n">
        <v>24</v>
      </c>
      <c r="F119" s="55" t="inlineStr">
        <is>
          <t xml:space="preserve">3 года </t>
        </is>
      </c>
      <c r="G119" s="174" t="n">
        <v>2106909803</v>
      </c>
      <c r="H119" s="174" t="n">
        <v>2936001013000000</v>
      </c>
      <c r="I119" s="174" t="n">
        <v>737870177814</v>
      </c>
      <c r="J119" s="57" t="inlineStr">
        <is>
          <t>в наличии</t>
        </is>
      </c>
      <c r="K119" s="60" t="n"/>
      <c r="L119" s="175" t="n"/>
      <c r="M119" s="176" t="n"/>
      <c r="N119" s="11" t="n"/>
    </row>
    <row r="120" ht="21.6" customFormat="1" customHeight="1" s="7">
      <c r="A120" s="5" t="n"/>
      <c r="B120" s="118" t="n"/>
      <c r="C120" s="119" t="inlineStr">
        <is>
          <t>Витамины БАД  NATURE'S ANSWER   (США)</t>
        </is>
      </c>
      <c r="D120" s="120" t="n"/>
      <c r="E120" s="121" t="n"/>
      <c r="F120" s="122" t="n"/>
      <c r="G120" s="122" t="n"/>
      <c r="H120" s="186" t="n"/>
      <c r="I120" s="186" t="n"/>
      <c r="J120" s="124" t="n"/>
      <c r="K120" s="125" t="n"/>
      <c r="L120" s="187" t="n"/>
      <c r="M120" s="188" t="n"/>
      <c r="N120" s="11" t="n"/>
    </row>
    <row r="121" ht="15.6" customFormat="1" customHeight="1" s="7">
      <c r="A121" s="5" t="n">
        <v>115</v>
      </c>
      <c r="B121" s="118" t="inlineStr">
        <is>
          <t>N A</t>
        </is>
      </c>
      <c r="C121" s="178" t="inlineStr">
        <is>
          <t>Жидкий малат и глицинат магния  480 мл (16 жидк. унций)</t>
        </is>
      </c>
      <c r="D121" s="76" t="n">
        <v>334000</v>
      </c>
      <c r="E121" s="54" t="n">
        <v>12</v>
      </c>
      <c r="F121" s="55" t="inlineStr">
        <is>
          <t xml:space="preserve">3 года </t>
        </is>
      </c>
      <c r="G121" s="174" t="n">
        <v>2106909803</v>
      </c>
      <c r="H121" s="174" t="n">
        <v>2936001013000000</v>
      </c>
      <c r="I121" s="134" t="inlineStr">
        <is>
          <t>083000261732</t>
        </is>
      </c>
      <c r="J121" s="57" t="inlineStr">
        <is>
          <t>в наличии</t>
        </is>
      </c>
      <c r="K121" s="60" t="n"/>
      <c r="L121" s="175" t="n"/>
      <c r="M121" s="176" t="n"/>
      <c r="N121" s="11" t="n"/>
    </row>
    <row r="122" ht="15.6" customFormat="1" customHeight="1" s="7">
      <c r="A122" s="5" t="n">
        <v>116</v>
      </c>
      <c r="B122" s="118" t="inlineStr">
        <is>
          <t>N A</t>
        </is>
      </c>
      <c r="C122" s="178" t="inlineStr">
        <is>
          <t>Жидкий витамин C, натуральный вкус лимона  240 мл (8 жидк. унций)</t>
        </is>
      </c>
      <c r="D122" s="76" t="n">
        <v>207000</v>
      </c>
      <c r="E122" s="54" t="n">
        <v>12</v>
      </c>
      <c r="F122" s="55" t="inlineStr">
        <is>
          <t xml:space="preserve">3 года </t>
        </is>
      </c>
      <c r="G122" s="174" t="n">
        <v>2106909803</v>
      </c>
      <c r="H122" s="174" t="n">
        <v>2936001013000000</v>
      </c>
      <c r="I122" s="134" t="inlineStr">
        <is>
          <t>083000261152</t>
        </is>
      </c>
      <c r="J122" s="57" t="inlineStr">
        <is>
          <t>в наличии</t>
        </is>
      </c>
      <c r="K122" s="60" t="n"/>
      <c r="L122" s="175" t="n"/>
      <c r="M122" s="176" t="n"/>
      <c r="N122" s="11" t="n"/>
    </row>
    <row r="123" ht="15.6" customFormat="1" customHeight="1" s="7">
      <c r="A123" s="5" t="n">
        <v>117</v>
      </c>
      <c r="B123" s="118" t="inlineStr">
        <is>
          <t>N A</t>
        </is>
      </c>
      <c r="C123" s="178" t="inlineStr">
        <is>
          <t>Жидкий комплекс витаминов группы B, со вкусом мандарина  240 мл (8 жидк. унций)</t>
        </is>
      </c>
      <c r="D123" s="76" t="n">
        <v>251000</v>
      </c>
      <c r="E123" s="54" t="n">
        <v>12</v>
      </c>
      <c r="F123" s="55" t="inlineStr">
        <is>
          <t xml:space="preserve">2 года </t>
        </is>
      </c>
      <c r="G123" s="174" t="n">
        <v>2106909803</v>
      </c>
      <c r="H123" s="174" t="n">
        <v>2936001013000000</v>
      </c>
      <c r="I123" s="134" t="inlineStr">
        <is>
          <t>083000261053</t>
        </is>
      </c>
      <c r="J123" s="57" t="inlineStr">
        <is>
          <t>в наличии</t>
        </is>
      </c>
      <c r="K123" s="60" t="n"/>
      <c r="L123" s="175" t="n"/>
      <c r="M123" s="176" t="n"/>
      <c r="N123" s="11" t="n"/>
    </row>
    <row r="124" ht="24" customFormat="1" customHeight="1" s="7">
      <c r="A124" s="5" t="n"/>
      <c r="B124" s="142" t="n"/>
      <c r="C124" s="143" t="inlineStr">
        <is>
          <t>Витамины БАД  SOLARAY   (США)</t>
        </is>
      </c>
      <c r="D124" s="144" t="n"/>
      <c r="E124" s="145" t="n"/>
      <c r="F124" s="146" t="n"/>
      <c r="G124" s="146" t="n"/>
      <c r="H124" s="189" t="n"/>
      <c r="I124" s="189" t="n"/>
      <c r="J124" s="148" t="n"/>
      <c r="K124" s="149" t="n"/>
      <c r="L124" s="190" t="n"/>
      <c r="M124" s="191" t="n"/>
      <c r="N124" s="11" t="n"/>
    </row>
    <row r="125" ht="15.6" customFormat="1" customHeight="1" s="7">
      <c r="A125" s="5" t="n">
        <v>118</v>
      </c>
      <c r="B125" s="142" t="inlineStr">
        <is>
          <t>S</t>
        </is>
      </c>
      <c r="C125" s="178" t="inlineStr">
        <is>
          <t>Life-flo, жидкий йод плюс с йодидом калия и йодом, с нейтральным вкусом,  59 мл</t>
        </is>
      </c>
      <c r="D125" s="76" t="n">
        <v>129000</v>
      </c>
      <c r="E125" s="54" t="n">
        <v>6</v>
      </c>
      <c r="F125" s="55" t="inlineStr">
        <is>
          <t xml:space="preserve">2 года </t>
        </is>
      </c>
      <c r="G125" s="174" t="n">
        <v>2106909803</v>
      </c>
      <c r="H125" s="174" t="n">
        <v>2936001013000000</v>
      </c>
      <c r="I125" s="134" t="inlineStr">
        <is>
          <t>645951915470</t>
        </is>
      </c>
      <c r="J125" s="57" t="inlineStr">
        <is>
          <t>в наличии</t>
        </is>
      </c>
      <c r="K125" s="60" t="n"/>
      <c r="L125" s="175" t="n"/>
      <c r="M125" s="176" t="n"/>
      <c r="N125" s="11" t="n"/>
    </row>
    <row r="126" ht="15.6" customFormat="1" customHeight="1" s="7">
      <c r="A126" s="5" t="n">
        <v>119</v>
      </c>
      <c r="B126" s="142" t="inlineStr">
        <is>
          <t>S</t>
        </is>
      </c>
      <c r="C126" s="178" t="inlineStr">
        <is>
          <t>BioMagic - Йод,  25 мл</t>
        </is>
      </c>
      <c r="D126" s="76" t="n">
        <v>120000</v>
      </c>
      <c r="E126" s="54" t="n">
        <v>54</v>
      </c>
      <c r="F126" s="55" t="inlineStr">
        <is>
          <t xml:space="preserve">3 года </t>
        </is>
      </c>
      <c r="G126" s="174" t="n">
        <v>2106909803</v>
      </c>
      <c r="H126" s="174" t="n">
        <v>2936001013000000</v>
      </c>
      <c r="I126" s="134" t="inlineStr">
        <is>
          <t>4640257720199</t>
        </is>
      </c>
      <c r="J126" s="57" t="inlineStr">
        <is>
          <t>в наличии</t>
        </is>
      </c>
      <c r="K126" s="60" t="n"/>
      <c r="L126" s="175" t="n"/>
      <c r="M126" s="176" t="n"/>
      <c r="N126" s="11" t="n"/>
    </row>
    <row r="127" ht="15.6" customFormat="1" customHeight="1" s="7">
      <c r="A127" s="5" t="n">
        <v>120</v>
      </c>
      <c r="B127" s="142" t="inlineStr">
        <is>
          <t>S</t>
        </is>
      </c>
      <c r="C127" s="178" t="inlineStr">
        <is>
          <t>BioMagic - Йод,  L-Селеноцистеин  25 мл</t>
        </is>
      </c>
      <c r="D127" s="76" t="n">
        <v>140000</v>
      </c>
      <c r="E127" s="54" t="n">
        <v>54</v>
      </c>
      <c r="F127" s="55" t="inlineStr">
        <is>
          <t xml:space="preserve">1 года </t>
        </is>
      </c>
      <c r="G127" s="174" t="n">
        <v>2106909803</v>
      </c>
      <c r="H127" s="174" t="n">
        <v>2936001013000000</v>
      </c>
      <c r="I127" s="134" t="inlineStr">
        <is>
          <t>4640257720205</t>
        </is>
      </c>
      <c r="J127" s="57" t="inlineStr">
        <is>
          <t>в наличии</t>
        </is>
      </c>
      <c r="K127" s="60" t="n"/>
      <c r="L127" s="175" t="n"/>
      <c r="M127" s="176" t="n"/>
      <c r="N127" s="11" t="n"/>
    </row>
    <row r="128" ht="15.6" customFormat="1" customHeight="1" s="7">
      <c r="A128" s="5" t="n">
        <v>121</v>
      </c>
      <c r="B128" s="142" t="inlineStr">
        <is>
          <t>S</t>
        </is>
      </c>
      <c r="C128" s="178" t="inlineStr">
        <is>
          <t xml:space="preserve">Глицинат магния 350 мг,  с высокой степенью усвоения,  240 капсул </t>
        </is>
      </c>
      <c r="D128" s="76" t="n">
        <v>488000</v>
      </c>
      <c r="E128" s="54" t="n">
        <v>6</v>
      </c>
      <c r="F128" s="55" t="inlineStr">
        <is>
          <t xml:space="preserve">3,5 года </t>
        </is>
      </c>
      <c r="G128" s="174" t="n">
        <v>2106909803</v>
      </c>
      <c r="H128" s="174" t="n">
        <v>2936001013000000</v>
      </c>
      <c r="I128" s="134" t="inlineStr">
        <is>
          <t>076280895049</t>
        </is>
      </c>
      <c r="J128" s="57" t="inlineStr">
        <is>
          <t>в наличии</t>
        </is>
      </c>
      <c r="K128" s="60" t="n"/>
      <c r="L128" s="175" t="n"/>
      <c r="M128" s="176" t="n"/>
      <c r="N128" s="11" t="n"/>
    </row>
    <row r="129" ht="15.6" customFormat="1" customHeight="1" s="7">
      <c r="A129" s="5" t="n">
        <v>122</v>
      </c>
      <c r="B129" s="142" t="inlineStr">
        <is>
          <t>S</t>
        </is>
      </c>
      <c r="C129" s="178" t="inlineStr">
        <is>
          <t>Витамины D3 и K2  125мкг/50мкг,  без сои,  60 растительных капсул</t>
        </is>
      </c>
      <c r="D129" s="76" t="n">
        <v>219000</v>
      </c>
      <c r="E129" s="54" t="n">
        <v>6</v>
      </c>
      <c r="F129" s="55" t="inlineStr">
        <is>
          <t xml:space="preserve">3,5 года </t>
        </is>
      </c>
      <c r="G129" s="174" t="n">
        <v>2106909803</v>
      </c>
      <c r="H129" s="174" t="n">
        <v>2936001013000000</v>
      </c>
      <c r="I129" s="134" t="inlineStr">
        <is>
          <t>076280385847</t>
        </is>
      </c>
      <c r="J129" s="57" t="inlineStr">
        <is>
          <t>в наличии</t>
        </is>
      </c>
      <c r="K129" s="60" t="n"/>
      <c r="L129" s="175" t="n"/>
      <c r="M129" s="176" t="n"/>
      <c r="N129" s="11" t="n"/>
    </row>
    <row r="130" ht="22.8" customFormat="1" customHeight="1" s="29">
      <c r="A130" s="24" t="n"/>
      <c r="B130" s="18" t="n"/>
      <c r="C130" s="87" t="inlineStr">
        <is>
          <t>Витамины БАД  ECO VITA  (РОССИЯ)</t>
        </is>
      </c>
      <c r="D130" s="77" t="n"/>
      <c r="E130" s="30" t="n"/>
      <c r="F130" s="31" t="n"/>
      <c r="G130" s="31" t="n"/>
      <c r="H130" s="31" t="n"/>
      <c r="I130" s="31" t="n"/>
      <c r="J130" s="30" t="n"/>
      <c r="K130" s="32" t="n"/>
      <c r="L130" s="192" t="n"/>
      <c r="M130" s="192" t="n"/>
    </row>
    <row r="131" ht="16.2" customFormat="1" customHeight="1" s="7">
      <c r="A131" s="5" t="n">
        <v>123</v>
      </c>
      <c r="B131" s="18" t="inlineStr">
        <is>
          <t>E V</t>
        </is>
      </c>
      <c r="C131" s="179" t="inlineStr">
        <is>
          <t>Биотин (Витамин B-7) 5000 мкг  60 капсул</t>
        </is>
      </c>
      <c r="D131" s="76" t="n">
        <v>53000</v>
      </c>
      <c r="E131" s="54" t="n">
        <v>12</v>
      </c>
      <c r="F131" s="55" t="inlineStr">
        <is>
          <t xml:space="preserve">2 года </t>
        </is>
      </c>
      <c r="G131" s="174" t="n">
        <v>2106909803</v>
      </c>
      <c r="H131" s="174" t="n">
        <v>2936001013000000</v>
      </c>
      <c r="I131" s="174" t="n">
        <v>4687206989344</v>
      </c>
      <c r="J131" s="57" t="inlineStr">
        <is>
          <t>в наличии</t>
        </is>
      </c>
      <c r="K131" s="60" t="n"/>
      <c r="L131" s="175" t="n"/>
      <c r="M131" s="176">
        <f>D131*L131</f>
        <v/>
      </c>
      <c r="N131" s="11" t="n"/>
    </row>
    <row r="132" ht="16.2" customFormat="1" customHeight="1" s="7">
      <c r="A132" s="5" t="n">
        <v>124</v>
      </c>
      <c r="B132" s="18" t="inlineStr">
        <is>
          <t>E V</t>
        </is>
      </c>
      <c r="C132" s="193" t="inlineStr">
        <is>
          <t>Рыбий жир с омега-3 (DHA 360 мг)  30 капсул</t>
        </is>
      </c>
      <c r="D132" s="76" t="n">
        <v>61000</v>
      </c>
      <c r="E132" s="54" t="n">
        <v>12</v>
      </c>
      <c r="F132" s="55" t="inlineStr">
        <is>
          <t xml:space="preserve">2 года </t>
        </is>
      </c>
      <c r="G132" s="174" t="n">
        <v>2106909803</v>
      </c>
      <c r="H132" s="174" t="n">
        <v>2936001013000000</v>
      </c>
      <c r="I132" s="174" t="n">
        <v>4610320918983</v>
      </c>
      <c r="J132" s="57" t="inlineStr">
        <is>
          <t>в наличии</t>
        </is>
      </c>
      <c r="K132" s="60" t="n"/>
      <c r="L132" s="175" t="n"/>
      <c r="M132" s="176">
        <f>D132*L132</f>
        <v/>
      </c>
      <c r="N132" s="11" t="n"/>
    </row>
    <row r="133" ht="16.2" customFormat="1" customHeight="1" s="7">
      <c r="A133" s="5" t="n">
        <v>125</v>
      </c>
      <c r="B133" s="18" t="inlineStr">
        <is>
          <t>E V</t>
        </is>
      </c>
      <c r="C133" s="193" t="inlineStr">
        <is>
          <t>Рыбий жир с омега-3 (DHA 360 мг)  100 капсул</t>
        </is>
      </c>
      <c r="D133" s="76" t="n">
        <v>109000</v>
      </c>
      <c r="E133" s="54" t="n">
        <v>12</v>
      </c>
      <c r="F133" s="55" t="inlineStr">
        <is>
          <t xml:space="preserve">2 года </t>
        </is>
      </c>
      <c r="G133" s="174" t="n">
        <v>2106909803</v>
      </c>
      <c r="H133" s="174" t="n">
        <v>2936001013000000</v>
      </c>
      <c r="I133" s="174" t="n">
        <v>4610320918976</v>
      </c>
      <c r="J133" s="57" t="inlineStr">
        <is>
          <t>в наличии</t>
        </is>
      </c>
      <c r="K133" s="60" t="n"/>
      <c r="L133" s="175" t="n"/>
      <c r="M133" s="176">
        <f>D133*L133</f>
        <v/>
      </c>
      <c r="N133" s="11" t="n"/>
    </row>
    <row r="134" ht="16.2" customFormat="1" customHeight="1" s="7">
      <c r="A134" s="5" t="n">
        <v>126</v>
      </c>
      <c r="B134" s="18" t="inlineStr">
        <is>
          <t>E V</t>
        </is>
      </c>
      <c r="C134" s="179" t="inlineStr">
        <is>
          <t>Цитрат кальция 210 мг, 90 капсул</t>
        </is>
      </c>
      <c r="D134" s="76" t="n">
        <v>56000</v>
      </c>
      <c r="E134" s="54" t="n">
        <v>12</v>
      </c>
      <c r="F134" s="55" t="inlineStr">
        <is>
          <t xml:space="preserve">2 года </t>
        </is>
      </c>
      <c r="G134" s="174" t="n">
        <v>2106909803</v>
      </c>
      <c r="H134" s="174" t="n">
        <v>2936001013000000</v>
      </c>
      <c r="I134" s="174" t="n">
        <v>4630518483093</v>
      </c>
      <c r="J134" s="57" t="inlineStr">
        <is>
          <t>в наличии</t>
        </is>
      </c>
      <c r="K134" s="60" t="n"/>
      <c r="L134" s="175" t="n"/>
      <c r="M134" s="176">
        <f>D134*L134</f>
        <v/>
      </c>
      <c r="N134" s="11" t="n"/>
    </row>
    <row r="135" ht="16.2" customFormat="1" customHeight="1" s="7">
      <c r="A135" s="5" t="n">
        <v>127</v>
      </c>
      <c r="B135" s="18" t="inlineStr">
        <is>
          <t>E V</t>
        </is>
      </c>
      <c r="C135" s="179" t="inlineStr">
        <is>
          <t>Цитрат магния с витамином B6, 60 капсул</t>
        </is>
      </c>
      <c r="D135" s="76" t="n">
        <v>55000</v>
      </c>
      <c r="E135" s="54" t="n">
        <v>12</v>
      </c>
      <c r="F135" s="55" t="inlineStr">
        <is>
          <t xml:space="preserve">2 года </t>
        </is>
      </c>
      <c r="G135" s="174" t="n">
        <v>2106909803</v>
      </c>
      <c r="H135" s="174" t="n">
        <v>2936001013000000</v>
      </c>
      <c r="I135" s="174" t="n">
        <v>4630518483017</v>
      </c>
      <c r="J135" s="57" t="inlineStr">
        <is>
          <t>в наличии</t>
        </is>
      </c>
      <c r="K135" s="60" t="n"/>
      <c r="L135" s="175" t="n"/>
      <c r="M135" s="176">
        <f>D135*L135</f>
        <v/>
      </c>
      <c r="N135" s="11" t="n"/>
    </row>
    <row r="136" ht="16.2" customFormat="1" customHeight="1" s="7">
      <c r="A136" s="5" t="n">
        <v>128</v>
      </c>
      <c r="B136" s="18" t="inlineStr">
        <is>
          <t>E V</t>
        </is>
      </c>
      <c r="C136" s="179" t="inlineStr">
        <is>
          <t>Витамин Д-3 2000 IU  100 желатиновые капсул</t>
        </is>
      </c>
      <c r="D136" s="76" t="n">
        <v>63000</v>
      </c>
      <c r="E136" s="54" t="n">
        <v>12</v>
      </c>
      <c r="F136" s="55" t="inlineStr">
        <is>
          <t xml:space="preserve">2 года </t>
        </is>
      </c>
      <c r="G136" s="174" t="n">
        <v>2106909803</v>
      </c>
      <c r="H136" s="174" t="n">
        <v>2936001013000000</v>
      </c>
      <c r="I136" s="174" t="n">
        <v>4687206996953</v>
      </c>
      <c r="J136" s="57" t="inlineStr">
        <is>
          <t>в наличии</t>
        </is>
      </c>
      <c r="K136" s="60" t="n"/>
      <c r="L136" s="175" t="n"/>
      <c r="M136" s="176">
        <f>D136*L136</f>
        <v/>
      </c>
      <c r="N136" s="11" t="n"/>
    </row>
    <row r="137" ht="16.2" customFormat="1" customHeight="1" s="7">
      <c r="A137" s="5" t="n">
        <v>129</v>
      </c>
      <c r="B137" s="18" t="inlineStr">
        <is>
          <t>E V</t>
        </is>
      </c>
      <c r="C137" s="179" t="inlineStr">
        <is>
          <t>Витамин Д-3 5000 IU  100 желатиновые капсул</t>
        </is>
      </c>
      <c r="D137" s="76" t="n">
        <v>68000</v>
      </c>
      <c r="E137" s="54" t="n">
        <v>12</v>
      </c>
      <c r="F137" s="55" t="inlineStr">
        <is>
          <t xml:space="preserve">2 года </t>
        </is>
      </c>
      <c r="G137" s="174" t="n">
        <v>2106909803</v>
      </c>
      <c r="H137" s="174" t="n">
        <v>2936001013000000</v>
      </c>
      <c r="I137" s="174" t="n">
        <v>4687206989320</v>
      </c>
      <c r="J137" s="57" t="inlineStr">
        <is>
          <t>в наличии</t>
        </is>
      </c>
      <c r="K137" s="60" t="n"/>
      <c r="L137" s="175" t="n"/>
      <c r="M137" s="176">
        <f>D137*L137</f>
        <v/>
      </c>
      <c r="N137" s="11" t="n"/>
    </row>
    <row r="138" ht="16.2" customFormat="1" customHeight="1" s="7">
      <c r="A138" s="5" t="n">
        <v>130</v>
      </c>
      <c r="B138" s="18" t="inlineStr">
        <is>
          <t>E V</t>
        </is>
      </c>
      <c r="C138" s="179" t="inlineStr">
        <is>
          <t>Витамин Д-3 10.000 IU  100 желатиновые капсул</t>
        </is>
      </c>
      <c r="D138" s="76" t="n">
        <v>75000</v>
      </c>
      <c r="E138" s="54" t="n">
        <v>12</v>
      </c>
      <c r="F138" s="55" t="inlineStr">
        <is>
          <t xml:space="preserve">2 года </t>
        </is>
      </c>
      <c r="G138" s="174" t="n">
        <v>2106909803</v>
      </c>
      <c r="H138" s="174" t="n">
        <v>2936001013000000</v>
      </c>
      <c r="I138" s="174" t="n">
        <v>4687206989337</v>
      </c>
      <c r="J138" s="57" t="inlineStr">
        <is>
          <t>в наличии</t>
        </is>
      </c>
      <c r="K138" s="60" t="n"/>
      <c r="L138" s="175" t="n"/>
      <c r="M138" s="176">
        <f>D138*L138</f>
        <v/>
      </c>
      <c r="N138" s="11" t="n"/>
    </row>
    <row r="139" ht="16.2" customFormat="1" customHeight="1" s="7">
      <c r="A139" s="5" t="n">
        <v>131</v>
      </c>
      <c r="B139" s="18" t="inlineStr">
        <is>
          <t>E V</t>
        </is>
      </c>
      <c r="C139" s="179" t="inlineStr">
        <is>
          <t>Инозитол 500 мг  100 капсул</t>
        </is>
      </c>
      <c r="D139" s="76" t="n">
        <v>98000</v>
      </c>
      <c r="E139" s="54" t="n">
        <v>12</v>
      </c>
      <c r="F139" s="55" t="inlineStr">
        <is>
          <t xml:space="preserve">2 года </t>
        </is>
      </c>
      <c r="G139" s="174" t="n">
        <v>2106909803</v>
      </c>
      <c r="H139" s="174" t="n">
        <v>2936001013000000</v>
      </c>
      <c r="I139" s="174" t="n">
        <v>4610320919027</v>
      </c>
      <c r="J139" s="57" t="inlineStr">
        <is>
          <t>в наличии</t>
        </is>
      </c>
      <c r="K139" s="60" t="n"/>
      <c r="L139" s="175" t="n"/>
      <c r="M139" s="176">
        <f>D139*L139</f>
        <v/>
      </c>
      <c r="N139" s="11" t="n"/>
    </row>
    <row r="140" ht="16.2" customFormat="1" customHeight="1" s="7">
      <c r="A140" s="5" t="n">
        <v>132</v>
      </c>
      <c r="B140" s="18" t="inlineStr">
        <is>
          <t>E V</t>
        </is>
      </c>
      <c r="C140" s="179" t="inlineStr">
        <is>
          <t>Селен 100 мкг 90 капсул</t>
        </is>
      </c>
      <c r="D140" s="76" t="n">
        <v>57000</v>
      </c>
      <c r="E140" s="54" t="n">
        <v>12</v>
      </c>
      <c r="F140" s="55" t="inlineStr">
        <is>
          <t xml:space="preserve">2 года </t>
        </is>
      </c>
      <c r="G140" s="174" t="n">
        <v>2106909803</v>
      </c>
      <c r="H140" s="174" t="n">
        <v>2936001013000000</v>
      </c>
      <c r="I140" s="174" t="n">
        <v>4610320919034</v>
      </c>
      <c r="J140" s="57" t="inlineStr">
        <is>
          <t>в наличии</t>
        </is>
      </c>
      <c r="K140" s="60" t="n"/>
      <c r="L140" s="175" t="n"/>
      <c r="M140" s="176">
        <f>D140*L140</f>
        <v/>
      </c>
      <c r="N140" s="11" t="n"/>
    </row>
    <row r="141" ht="16.2" customFormat="1" customHeight="1" s="7">
      <c r="A141" s="5" t="n">
        <v>133</v>
      </c>
      <c r="B141" s="18" t="inlineStr">
        <is>
          <t>E V</t>
        </is>
      </c>
      <c r="C141" s="179" t="inlineStr">
        <is>
          <t>Лецитин 1000 мг  100 желатиновые капсул</t>
        </is>
      </c>
      <c r="D141" s="76" t="n">
        <v>140000</v>
      </c>
      <c r="E141" s="54" t="n">
        <v>12</v>
      </c>
      <c r="F141" s="55" t="inlineStr">
        <is>
          <t xml:space="preserve">2 года </t>
        </is>
      </c>
      <c r="G141" s="174" t="n">
        <v>2106909803</v>
      </c>
      <c r="H141" s="174" t="n">
        <v>2936001013000000</v>
      </c>
      <c r="I141" s="174" t="n">
        <v>4687206989351</v>
      </c>
      <c r="J141" s="57" t="inlineStr">
        <is>
          <t>в наличии</t>
        </is>
      </c>
      <c r="K141" s="60" t="n"/>
      <c r="L141" s="175" t="n"/>
      <c r="M141" s="176">
        <f>D141*L141</f>
        <v/>
      </c>
      <c r="N141" s="11" t="n"/>
    </row>
    <row r="142" ht="16.2" customFormat="1" customHeight="1" s="7">
      <c r="A142" s="5" t="n">
        <v>134</v>
      </c>
      <c r="B142" s="18" t="inlineStr">
        <is>
          <t>E V</t>
        </is>
      </c>
      <c r="C142" s="179" t="inlineStr">
        <is>
          <t>Коллаген в капсулах 1-3 Типа, 60 капсул</t>
        </is>
      </c>
      <c r="D142" s="76" t="n">
        <v>53000</v>
      </c>
      <c r="E142" s="54" t="n">
        <v>12</v>
      </c>
      <c r="F142" s="55" t="inlineStr">
        <is>
          <t xml:space="preserve">2 года </t>
        </is>
      </c>
      <c r="G142" s="174" t="n">
        <v>2106909803</v>
      </c>
      <c r="H142" s="174" t="n">
        <v>2936001013000000</v>
      </c>
      <c r="I142" s="174" t="n">
        <v>4630518486308</v>
      </c>
      <c r="J142" s="57" t="inlineStr">
        <is>
          <t>в наличии</t>
        </is>
      </c>
      <c r="K142" s="60" t="n"/>
      <c r="L142" s="175" t="n"/>
      <c r="M142" s="176">
        <f>D142*L142</f>
        <v/>
      </c>
      <c r="N142" s="11" t="n"/>
    </row>
    <row r="143" ht="16.2" customFormat="1" customHeight="1" s="7">
      <c r="A143" s="5" t="n">
        <v>135</v>
      </c>
      <c r="B143" s="18" t="inlineStr">
        <is>
          <t>E V</t>
        </is>
      </c>
      <c r="C143" s="179" t="inlineStr">
        <is>
          <t>L-карнитин (850 мг в 2х капсулах), 90 капсул</t>
        </is>
      </c>
      <c r="D143" s="76" t="n">
        <v>90000</v>
      </c>
      <c r="E143" s="54" t="n">
        <v>12</v>
      </c>
      <c r="F143" s="55" t="inlineStr">
        <is>
          <t xml:space="preserve">2 года </t>
        </is>
      </c>
      <c r="G143" s="174" t="n">
        <v>2106909803</v>
      </c>
      <c r="H143" s="174" t="n">
        <v>2936001013000000</v>
      </c>
      <c r="I143" s="174" t="n">
        <v>4630518483079</v>
      </c>
      <c r="J143" s="57" t="inlineStr">
        <is>
          <t>в наличии</t>
        </is>
      </c>
      <c r="K143" s="60" t="n"/>
      <c r="L143" s="175" t="n"/>
      <c r="M143" s="176">
        <f>D143*L143</f>
        <v/>
      </c>
      <c r="N143" s="11" t="n"/>
    </row>
    <row r="144" ht="16.2" customFormat="1" customHeight="1" s="7">
      <c r="A144" s="5" t="n">
        <v>136</v>
      </c>
      <c r="B144" s="18" t="inlineStr">
        <is>
          <t>E V</t>
        </is>
      </c>
      <c r="C144" s="179" t="inlineStr">
        <is>
          <t>Глюкозамин, хондроитин и МСМ 2320 мг, 120 капсул</t>
        </is>
      </c>
      <c r="D144" s="76" t="n">
        <v>99000</v>
      </c>
      <c r="E144" s="54" t="n">
        <v>12</v>
      </c>
      <c r="F144" s="55" t="inlineStr">
        <is>
          <t xml:space="preserve">2 года </t>
        </is>
      </c>
      <c r="G144" s="174" t="n">
        <v>2106909803</v>
      </c>
      <c r="H144" s="174" t="n">
        <v>2936001013000000</v>
      </c>
      <c r="I144" s="174" t="n">
        <v>4630518482997</v>
      </c>
      <c r="J144" s="57" t="inlineStr">
        <is>
          <t>в наличии</t>
        </is>
      </c>
      <c r="K144" s="60" t="n"/>
      <c r="L144" s="175" t="n"/>
      <c r="M144" s="176">
        <f>D144*L144</f>
        <v/>
      </c>
      <c r="N144" s="11" t="n"/>
    </row>
    <row r="145" ht="16.2" customFormat="1" customHeight="1" s="7">
      <c r="A145" s="5" t="n">
        <v>137</v>
      </c>
      <c r="B145" s="18" t="inlineStr">
        <is>
          <t>E V</t>
        </is>
      </c>
      <c r="C145" s="179" t="inlineStr">
        <is>
          <t>Комплекс витаминов группы B, 60</t>
        </is>
      </c>
      <c r="D145" s="76" t="n">
        <v>50000</v>
      </c>
      <c r="E145" s="54" t="n">
        <v>12</v>
      </c>
      <c r="F145" s="55" t="inlineStr">
        <is>
          <t xml:space="preserve">2 года </t>
        </is>
      </c>
      <c r="G145" s="174" t="n">
        <v>2106909803</v>
      </c>
      <c r="H145" s="174" t="n">
        <v>2936001013000000</v>
      </c>
      <c r="I145" s="174" t="n">
        <v>4630518483109</v>
      </c>
      <c r="J145" s="57" t="inlineStr">
        <is>
          <t>в наличии</t>
        </is>
      </c>
      <c r="K145" s="60" t="n"/>
      <c r="L145" s="175" t="n"/>
      <c r="M145" s="176">
        <f>D145*L145</f>
        <v/>
      </c>
      <c r="N145" s="11" t="n"/>
    </row>
    <row r="146" ht="16.2" customFormat="1" customHeight="1" s="7">
      <c r="A146" s="5" t="n">
        <v>138</v>
      </c>
      <c r="B146" s="18" t="inlineStr">
        <is>
          <t>E V</t>
        </is>
      </c>
      <c r="C146" s="179" t="inlineStr">
        <is>
          <t>Пиколинат хрома 200 мкг 60 капсул</t>
        </is>
      </c>
      <c r="D146" s="76" t="n">
        <v>54000</v>
      </c>
      <c r="E146" s="54" t="n">
        <v>12</v>
      </c>
      <c r="F146" s="55" t="inlineStr">
        <is>
          <t xml:space="preserve">2 года </t>
        </is>
      </c>
      <c r="G146" s="174" t="n">
        <v>2106909803</v>
      </c>
      <c r="H146" s="174" t="n">
        <v>2936001013000000</v>
      </c>
      <c r="I146" s="174" t="n">
        <v>4630518483062</v>
      </c>
      <c r="J146" s="57" t="inlineStr">
        <is>
          <t>в наличии</t>
        </is>
      </c>
      <c r="K146" s="60" t="n"/>
      <c r="L146" s="175" t="n"/>
      <c r="M146" s="176">
        <f>D146*L146</f>
        <v/>
      </c>
      <c r="N146" s="11" t="n"/>
    </row>
    <row r="147" ht="22.8" customFormat="1" customHeight="1" s="29">
      <c r="A147" s="24" t="n"/>
      <c r="B147" s="135" t="n"/>
      <c r="C147" s="136" t="inlineStr">
        <is>
          <t>Витамины БАД  VITA GARDEN  (РОССИЯ)</t>
        </is>
      </c>
      <c r="D147" s="137" t="n"/>
      <c r="E147" s="138" t="n"/>
      <c r="F147" s="139" t="n"/>
      <c r="G147" s="139" t="n"/>
      <c r="H147" s="139" t="n"/>
      <c r="I147" s="139" t="n"/>
      <c r="J147" s="138" t="n"/>
      <c r="K147" s="140" t="n"/>
      <c r="L147" s="194" t="n"/>
      <c r="M147" s="194" t="n"/>
    </row>
    <row r="148" ht="15.6" customFormat="1" customHeight="1" s="7">
      <c r="A148" s="5" t="n">
        <v>139</v>
      </c>
      <c r="B148" s="135" t="inlineStr">
        <is>
          <t>V G</t>
        </is>
      </c>
      <c r="C148" s="178" t="inlineStr">
        <is>
          <t>Биотин (Витамин B-7) 5000 мкг 30 капсул</t>
        </is>
      </c>
      <c r="D148" s="76" t="n">
        <v>40000</v>
      </c>
      <c r="E148" s="54" t="n">
        <v>12</v>
      </c>
      <c r="F148" s="55" t="inlineStr">
        <is>
          <t xml:space="preserve">2 года </t>
        </is>
      </c>
      <c r="G148" s="174" t="n">
        <v>2106909803</v>
      </c>
      <c r="H148" s="174" t="n">
        <v>2936001013000000</v>
      </c>
      <c r="I148" s="174" t="n">
        <v>4687207828314</v>
      </c>
      <c r="J148" s="57" t="inlineStr">
        <is>
          <t>в наличии</t>
        </is>
      </c>
      <c r="K148" s="60" t="n"/>
      <c r="L148" s="175" t="n"/>
      <c r="M148" s="176" t="n"/>
      <c r="N148" s="11" t="n"/>
    </row>
    <row r="149" ht="16.2" customFormat="1" customHeight="1" s="7">
      <c r="A149" s="5" t="n">
        <v>140</v>
      </c>
      <c r="B149" s="135" t="inlineStr">
        <is>
          <t>V G</t>
        </is>
      </c>
      <c r="C149" s="178" t="inlineStr">
        <is>
          <t>Рыбий жир с омега-3 (1350 мг в 1 капсуле), 60 капсул</t>
        </is>
      </c>
      <c r="D149" s="76" t="n">
        <v>79000</v>
      </c>
      <c r="E149" s="54" t="n">
        <v>12</v>
      </c>
      <c r="F149" s="55" t="inlineStr">
        <is>
          <t xml:space="preserve">2 года </t>
        </is>
      </c>
      <c r="G149" s="174" t="n">
        <v>2106909803</v>
      </c>
      <c r="H149" s="174" t="n">
        <v>2936001013000000</v>
      </c>
      <c r="I149" s="174" t="n">
        <v>4630518486254</v>
      </c>
      <c r="J149" s="57" t="inlineStr">
        <is>
          <t>в наличии</t>
        </is>
      </c>
      <c r="K149" s="60" t="n"/>
      <c r="L149" s="175" t="n"/>
      <c r="M149" s="176" t="n"/>
      <c r="N149" s="11" t="n"/>
    </row>
    <row r="150" ht="16.2" customFormat="1" customHeight="1" s="7">
      <c r="A150" s="5" t="n">
        <v>141</v>
      </c>
      <c r="B150" s="135" t="inlineStr">
        <is>
          <t>V G</t>
        </is>
      </c>
      <c r="C150" s="178" t="inlineStr">
        <is>
          <t>Магний с витамином B6, 60 капсул</t>
        </is>
      </c>
      <c r="D150" s="76" t="n">
        <v>56000</v>
      </c>
      <c r="E150" s="54" t="n">
        <v>12</v>
      </c>
      <c r="F150" s="55" t="inlineStr">
        <is>
          <t xml:space="preserve">2 года </t>
        </is>
      </c>
      <c r="G150" s="174" t="n">
        <v>2106909803</v>
      </c>
      <c r="H150" s="174" t="n">
        <v>2936001013000000</v>
      </c>
      <c r="I150" s="174" t="n">
        <v>4630518486292</v>
      </c>
      <c r="J150" s="57" t="inlineStr">
        <is>
          <t>в наличии</t>
        </is>
      </c>
      <c r="K150" s="60" t="n"/>
      <c r="L150" s="175" t="n"/>
      <c r="M150" s="176" t="n"/>
      <c r="N150" s="11" t="n"/>
    </row>
    <row r="151" ht="16.2" customFormat="1" customHeight="1" s="7">
      <c r="A151" s="5" t="n">
        <v>142</v>
      </c>
      <c r="B151" s="135" t="inlineStr">
        <is>
          <t>V G</t>
        </is>
      </c>
      <c r="C151" s="178" t="inlineStr">
        <is>
          <t>Цитрат кальция 220 мг, 60 капсул</t>
        </is>
      </c>
      <c r="D151" s="76" t="n">
        <v>46000</v>
      </c>
      <c r="E151" s="54" t="n">
        <v>12</v>
      </c>
      <c r="F151" s="55" t="inlineStr">
        <is>
          <t xml:space="preserve">2 года </t>
        </is>
      </c>
      <c r="G151" s="174" t="n">
        <v>2106909803</v>
      </c>
      <c r="H151" s="174" t="n">
        <v>2936001013000000</v>
      </c>
      <c r="I151" s="174" t="n">
        <v>4630518486285</v>
      </c>
      <c r="J151" s="57" t="inlineStr">
        <is>
          <t>в наличии</t>
        </is>
      </c>
      <c r="K151" s="60" t="n"/>
      <c r="L151" s="175" t="n"/>
      <c r="M151" s="176" t="n"/>
      <c r="N151" s="11" t="n"/>
    </row>
    <row r="152" ht="16.2" customFormat="1" customHeight="1" s="7">
      <c r="A152" s="5" t="n">
        <v>143</v>
      </c>
      <c r="B152" s="135" t="inlineStr">
        <is>
          <t>V G</t>
        </is>
      </c>
      <c r="C152" s="178" t="inlineStr">
        <is>
          <t>Витамин D3 высокоактивный 2000 МЕ, 60 капсул</t>
        </is>
      </c>
      <c r="D152" s="76" t="n">
        <v>39000</v>
      </c>
      <c r="E152" s="54" t="n">
        <v>12</v>
      </c>
      <c r="F152" s="55" t="inlineStr">
        <is>
          <t xml:space="preserve">2 года </t>
        </is>
      </c>
      <c r="G152" s="174" t="n">
        <v>2106909803</v>
      </c>
      <c r="H152" s="174" t="n">
        <v>2936001013000000</v>
      </c>
      <c r="I152" s="174" t="n">
        <v>4630518486742</v>
      </c>
      <c r="J152" s="57" t="inlineStr">
        <is>
          <t>в наличии</t>
        </is>
      </c>
      <c r="K152" s="60" t="n"/>
      <c r="L152" s="175" t="n"/>
      <c r="M152" s="176" t="n"/>
      <c r="N152" s="11" t="n"/>
    </row>
    <row r="153" ht="16.2" customFormat="1" customHeight="1" s="7">
      <c r="A153" s="5" t="n">
        <v>144</v>
      </c>
      <c r="B153" s="135" t="inlineStr">
        <is>
          <t>V G</t>
        </is>
      </c>
      <c r="C153" s="178" t="inlineStr">
        <is>
          <t>Инозитол 500 мг  60 капсул</t>
        </is>
      </c>
      <c r="D153" s="76" t="n"/>
      <c r="E153" s="54" t="n">
        <v>12</v>
      </c>
      <c r="F153" s="55" t="inlineStr">
        <is>
          <t xml:space="preserve">2 года </t>
        </is>
      </c>
      <c r="G153" s="174" t="n">
        <v>2106909803</v>
      </c>
      <c r="H153" s="174" t="n">
        <v>2936001013000000</v>
      </c>
      <c r="I153" s="174" t="n"/>
      <c r="J153" s="57" t="inlineStr">
        <is>
          <t>в наличии</t>
        </is>
      </c>
      <c r="K153" s="60" t="n"/>
      <c r="L153" s="175" t="n"/>
      <c r="M153" s="176" t="n"/>
      <c r="N153" s="11" t="n"/>
    </row>
    <row r="154" ht="16.2" customFormat="1" customHeight="1" s="7">
      <c r="A154" s="5" t="n">
        <v>145</v>
      </c>
      <c r="B154" s="135" t="inlineStr">
        <is>
          <t>V G</t>
        </is>
      </c>
      <c r="C154" s="178" t="inlineStr">
        <is>
          <t>Селен 100 мкг, 60 капсул</t>
        </is>
      </c>
      <c r="D154" s="76" t="n">
        <v>42000</v>
      </c>
      <c r="E154" s="54" t="n">
        <v>12</v>
      </c>
      <c r="F154" s="55" t="inlineStr">
        <is>
          <t xml:space="preserve">2 года </t>
        </is>
      </c>
      <c r="G154" s="174" t="n">
        <v>2106909803</v>
      </c>
      <c r="H154" s="174" t="n">
        <v>2936001013000000</v>
      </c>
      <c r="I154" s="174" t="n">
        <v>4630518486278</v>
      </c>
      <c r="J154" s="57" t="inlineStr">
        <is>
          <t>в наличии</t>
        </is>
      </c>
      <c r="K154" s="60" t="n"/>
      <c r="L154" s="175" t="n"/>
      <c r="M154" s="176" t="n"/>
      <c r="N154" s="11" t="n"/>
    </row>
    <row r="155" ht="16.2" customFormat="1" customHeight="1" s="7">
      <c r="A155" s="5" t="n">
        <v>146</v>
      </c>
      <c r="B155" s="135" t="inlineStr">
        <is>
          <t>V G</t>
        </is>
      </c>
      <c r="C155" s="85" t="inlineStr">
        <is>
          <t>Пиколинат цинка 125 мг, 60 капсул</t>
        </is>
      </c>
      <c r="D155" s="76" t="n">
        <v>55000</v>
      </c>
      <c r="E155" s="54" t="n">
        <v>12</v>
      </c>
      <c r="F155" s="55" t="inlineStr">
        <is>
          <t xml:space="preserve">2 года </t>
        </is>
      </c>
      <c r="G155" s="174" t="n">
        <v>2106909803</v>
      </c>
      <c r="H155" s="174" t="n">
        <v>2936001013000000</v>
      </c>
      <c r="I155" s="174" t="n">
        <v>4630518486247</v>
      </c>
      <c r="J155" s="57" t="inlineStr">
        <is>
          <t>в наличии</t>
        </is>
      </c>
      <c r="K155" s="60" t="n"/>
      <c r="L155" s="175" t="n"/>
      <c r="M155" s="176" t="n"/>
      <c r="N155" s="11" t="n"/>
    </row>
    <row r="156" outlineLevel="2" ht="22.2" customFormat="1" customHeight="1" s="66">
      <c r="A156" s="37" t="n"/>
      <c r="B156" s="109" t="n"/>
      <c r="C156" s="110" t="inlineStr">
        <is>
          <t>Косметические средства SNB     (Германия)  (Турция)</t>
        </is>
      </c>
      <c r="D156" s="111" t="n"/>
      <c r="E156" s="112" t="n"/>
      <c r="F156" s="113" t="n"/>
      <c r="G156" s="113" t="n"/>
      <c r="H156" s="113" t="n"/>
      <c r="I156" s="113" t="n"/>
      <c r="J156" s="112" t="n"/>
      <c r="K156" s="114" t="n"/>
      <c r="L156" s="195" t="n"/>
      <c r="M156" s="116" t="n"/>
      <c r="N156" s="42" t="n"/>
    </row>
    <row r="157" outlineLevel="3" ht="16.2" customFormat="1" customHeight="1" s="11">
      <c r="A157" s="5" t="n">
        <v>147</v>
      </c>
      <c r="B157" s="117" t="inlineStr">
        <is>
          <t>SNB</t>
        </is>
      </c>
      <c r="C157" s="84" t="inlineStr">
        <is>
          <t>SNB Strong 17 % Antiperspirant Bottle 35 мл</t>
        </is>
      </c>
      <c r="D157" s="76" t="n">
        <v>110000</v>
      </c>
      <c r="E157" s="57" t="n">
        <v>6</v>
      </c>
      <c r="F157" s="55" t="inlineStr">
        <is>
          <t xml:space="preserve">3 года </t>
        </is>
      </c>
      <c r="G157" s="196" t="n">
        <v>3307200000</v>
      </c>
      <c r="H157" s="196" t="n">
        <v>3307002002000000</v>
      </c>
      <c r="I157" s="174" t="n">
        <v>4260321982003</v>
      </c>
      <c r="J157" s="57" t="inlineStr">
        <is>
          <t>в наличии</t>
        </is>
      </c>
      <c r="K157" s="6" t="n"/>
      <c r="L157" s="175" t="n"/>
      <c r="M157" s="176">
        <f>L157*D157</f>
        <v/>
      </c>
      <c r="N157" s="7" t="n"/>
    </row>
    <row r="158" outlineLevel="3" ht="16.2" customFormat="1" customHeight="1" s="11">
      <c r="A158" s="5" t="n">
        <v>148</v>
      </c>
      <c r="B158" s="117" t="inlineStr">
        <is>
          <t>SNB</t>
        </is>
      </c>
      <c r="C158" s="84" t="inlineStr">
        <is>
          <t>SNB Strong 22 % Antiperspirant Bottle 35 мл</t>
        </is>
      </c>
      <c r="D158" s="80" t="n">
        <v>110000</v>
      </c>
      <c r="E158" s="67" t="n">
        <v>6</v>
      </c>
      <c r="F158" s="55" t="inlineStr">
        <is>
          <t xml:space="preserve">3 года </t>
        </is>
      </c>
      <c r="G158" s="196" t="n">
        <v>3307200000</v>
      </c>
      <c r="H158" s="196" t="n">
        <v>3307002002000000</v>
      </c>
      <c r="I158" s="196" t="n">
        <v>4260321982010</v>
      </c>
      <c r="J158" s="57" t="inlineStr">
        <is>
          <t>в наличии</t>
        </is>
      </c>
      <c r="K158" s="6" t="n"/>
      <c r="L158" s="175" t="n"/>
      <c r="M158" s="176" t="n"/>
      <c r="N158" s="7" t="n"/>
    </row>
    <row r="159" outlineLevel="3" ht="16.2" customFormat="1" customHeight="1" s="11">
      <c r="A159" s="5" t="n">
        <v>149</v>
      </c>
      <c r="B159" s="117" t="inlineStr">
        <is>
          <t>SNB</t>
        </is>
      </c>
      <c r="C159" s="84" t="inlineStr">
        <is>
          <t>SNB LifeStyle For Her Aerozol 200 мл</t>
        </is>
      </c>
      <c r="D159" s="80" t="n">
        <v>60000</v>
      </c>
      <c r="E159" s="67" t="n">
        <v>12</v>
      </c>
      <c r="F159" s="55" t="inlineStr">
        <is>
          <t>5 лет</t>
        </is>
      </c>
      <c r="G159" s="196" t="n">
        <v>3307200000</v>
      </c>
      <c r="H159" s="196" t="n">
        <v>3307002002000000</v>
      </c>
      <c r="I159" s="196" t="n">
        <v>8699009468069</v>
      </c>
      <c r="J159" s="57" t="inlineStr">
        <is>
          <t>в наличии</t>
        </is>
      </c>
      <c r="K159" s="6" t="n"/>
      <c r="L159" s="175" t="n"/>
      <c r="M159" s="176">
        <f>L159*D159</f>
        <v/>
      </c>
      <c r="N159" s="7" t="n"/>
    </row>
    <row r="160" outlineLevel="2" ht="22.2" customFormat="1" customHeight="1" s="66">
      <c r="A160" s="37" t="n"/>
      <c r="B160" s="20" t="n"/>
      <c r="C160" s="88" t="inlineStr">
        <is>
          <t>Косметические средства Dry Dry    (Швеция)  (Германия)</t>
        </is>
      </c>
      <c r="D160" s="79" t="n"/>
      <c r="E160" s="38" t="n"/>
      <c r="F160" s="39" t="n"/>
      <c r="G160" s="39" t="n"/>
      <c r="H160" s="39" t="n"/>
      <c r="I160" s="39" t="n"/>
      <c r="J160" s="38" t="n"/>
      <c r="K160" s="37" t="n"/>
      <c r="L160" s="197" t="n"/>
      <c r="M160" s="41" t="n"/>
      <c r="N160" s="42" t="n"/>
    </row>
    <row r="161" outlineLevel="3" ht="15.6" customFormat="1" customHeight="1" s="11">
      <c r="A161" s="5" t="n">
        <v>150</v>
      </c>
      <c r="B161" s="21" t="inlineStr">
        <is>
          <t>DRY DRY</t>
        </is>
      </c>
      <c r="C161" s="84" t="inlineStr">
        <is>
          <t>Dry Dry de Classic Bottle 35 мл</t>
        </is>
      </c>
      <c r="D161" s="76" t="n">
        <v>130000</v>
      </c>
      <c r="E161" s="57" t="n">
        <v>6</v>
      </c>
      <c r="F161" s="55" t="inlineStr">
        <is>
          <t xml:space="preserve">3 года </t>
        </is>
      </c>
      <c r="G161" s="196" t="n">
        <v>3307200000</v>
      </c>
      <c r="H161" s="196" t="n">
        <v>3307002002000000</v>
      </c>
      <c r="I161" s="174" t="n">
        <v>7350061291019</v>
      </c>
      <c r="J161" s="57" t="inlineStr">
        <is>
          <t>в наличии</t>
        </is>
      </c>
      <c r="K161" s="6" t="n"/>
      <c r="L161" s="175" t="n"/>
      <c r="M161" s="176">
        <f>L161*D161</f>
        <v/>
      </c>
      <c r="N161" s="7" t="n"/>
    </row>
    <row r="162" outlineLevel="3" ht="14.4" customFormat="1" customHeight="1" s="11">
      <c r="A162" s="5" t="n">
        <v>151</v>
      </c>
      <c r="B162" s="21" t="inlineStr">
        <is>
          <t>DRY DRY</t>
        </is>
      </c>
      <c r="C162" s="84" t="inlineStr">
        <is>
          <t>Dry Dry de Classic Roll-On 35 мл</t>
        </is>
      </c>
      <c r="D162" s="80" t="n">
        <v>130000</v>
      </c>
      <c r="E162" s="67" t="n">
        <v>6</v>
      </c>
      <c r="F162" s="13" t="inlineStr">
        <is>
          <t xml:space="preserve">3 года </t>
        </is>
      </c>
      <c r="G162" s="196" t="n">
        <v>3307200000</v>
      </c>
      <c r="H162" s="196" t="n">
        <v>3307002002000000</v>
      </c>
      <c r="I162" s="196" t="n">
        <v>7350061291101</v>
      </c>
      <c r="J162" s="57" t="inlineStr">
        <is>
          <t>в наличии</t>
        </is>
      </c>
      <c r="K162" s="6" t="n"/>
      <c r="L162" s="175" t="n"/>
      <c r="M162" s="176">
        <f>L162*D162</f>
        <v/>
      </c>
      <c r="N162" s="7" t="n"/>
    </row>
    <row r="163" outlineLevel="3" ht="14.4" customFormat="1" customHeight="1" s="11">
      <c r="A163" s="5" t="n">
        <v>152</v>
      </c>
      <c r="B163" s="21" t="inlineStr">
        <is>
          <t>DRY DRY</t>
        </is>
      </c>
      <c r="C163" s="84" t="inlineStr">
        <is>
          <t>Dry Dry de Sensetive Roll-On 50 мл</t>
        </is>
      </c>
      <c r="D163" s="76" t="n">
        <v>130000</v>
      </c>
      <c r="E163" s="57" t="n">
        <v>6</v>
      </c>
      <c r="F163" s="55" t="inlineStr">
        <is>
          <t xml:space="preserve">3 года </t>
        </is>
      </c>
      <c r="G163" s="196" t="n">
        <v>3307200000</v>
      </c>
      <c r="H163" s="196" t="n">
        <v>3307002002000000</v>
      </c>
      <c r="I163" s="174" t="n">
        <v>7350061291026</v>
      </c>
      <c r="J163" s="57" t="inlineStr">
        <is>
          <t>в наличии</t>
        </is>
      </c>
      <c r="K163" s="6" t="n"/>
      <c r="L163" s="175" t="n"/>
      <c r="M163" s="176">
        <f>L163*D163</f>
        <v/>
      </c>
      <c r="N163" s="7" t="n"/>
    </row>
    <row r="164" outlineLevel="3" ht="14.4" customFormat="1" customHeight="1" s="11">
      <c r="A164" s="5" t="n">
        <v>153</v>
      </c>
      <c r="B164" s="21" t="inlineStr">
        <is>
          <t>DRY DRY</t>
        </is>
      </c>
      <c r="C164" s="84" t="inlineStr">
        <is>
          <t>Dry Dry de Foot Spray 100 мл</t>
        </is>
      </c>
      <c r="D164" s="76" t="n">
        <v>130000</v>
      </c>
      <c r="E164" s="57" t="n">
        <v>6</v>
      </c>
      <c r="F164" s="55" t="inlineStr">
        <is>
          <t xml:space="preserve">3 года </t>
        </is>
      </c>
      <c r="G164" s="196" t="n">
        <v>3307200000</v>
      </c>
      <c r="H164" s="196" t="n">
        <v>3307001026000000</v>
      </c>
      <c r="I164" s="174" t="n">
        <v>7350061291064</v>
      </c>
      <c r="J164" s="57" t="inlineStr">
        <is>
          <t>в наличии</t>
        </is>
      </c>
      <c r="K164" s="6" t="n"/>
      <c r="L164" s="175" t="n"/>
      <c r="M164" s="176">
        <f>L164*D164</f>
        <v/>
      </c>
      <c r="N164" s="7" t="n"/>
    </row>
    <row r="165" outlineLevel="3" ht="14.4" customFormat="1" customHeight="1" s="11">
      <c r="A165" s="5" t="n">
        <v>154</v>
      </c>
      <c r="B165" s="21" t="inlineStr">
        <is>
          <t>DRY DRY</t>
        </is>
      </c>
      <c r="C165" s="84" t="inlineStr">
        <is>
          <t>Dry Dry de Light Roll-On 50 мл</t>
        </is>
      </c>
      <c r="D165" s="76" t="n">
        <v>130000</v>
      </c>
      <c r="E165" s="57" t="n">
        <v>6</v>
      </c>
      <c r="F165" s="55" t="inlineStr">
        <is>
          <t xml:space="preserve">3 года </t>
        </is>
      </c>
      <c r="G165" s="196" t="n">
        <v>3307200000</v>
      </c>
      <c r="H165" s="196" t="n">
        <v>3307000050000000</v>
      </c>
      <c r="I165" s="174" t="n">
        <v>4260321981044</v>
      </c>
      <c r="J165" s="57" t="inlineStr">
        <is>
          <t>в наличии</t>
        </is>
      </c>
      <c r="K165" s="6" t="n"/>
      <c r="L165" s="175" t="n"/>
      <c r="M165" s="176">
        <f>L165*D165</f>
        <v/>
      </c>
      <c r="N165" s="7" t="n"/>
    </row>
    <row r="166" outlineLevel="3" ht="14.4" customFormat="1" customHeight="1" s="11">
      <c r="A166" s="5" t="n">
        <v>155</v>
      </c>
      <c r="B166" s="21" t="inlineStr">
        <is>
          <t>DRY DRY</t>
        </is>
      </c>
      <c r="C166" s="84" t="inlineStr">
        <is>
          <t>Dry Dry de Woman Roll-On 50 мл</t>
        </is>
      </c>
      <c r="D166" s="80" t="n">
        <v>130000</v>
      </c>
      <c r="E166" s="67" t="n">
        <v>6</v>
      </c>
      <c r="F166" s="13" t="inlineStr">
        <is>
          <t xml:space="preserve">3 года </t>
        </is>
      </c>
      <c r="G166" s="196" t="n">
        <v>3307200000</v>
      </c>
      <c r="H166" s="196" t="n">
        <v>3307002002000000</v>
      </c>
      <c r="I166" s="196" t="n">
        <v>7350061291231</v>
      </c>
      <c r="J166" s="57" t="inlineStr">
        <is>
          <t>в наличии</t>
        </is>
      </c>
      <c r="K166" s="6" t="n"/>
      <c r="L166" s="175" t="n"/>
      <c r="M166" s="176">
        <f>L166*D166</f>
        <v/>
      </c>
      <c r="N166" s="7" t="n"/>
    </row>
    <row r="167" outlineLevel="3" ht="14.4" customFormat="1" customHeight="1" s="11">
      <c r="A167" s="5" t="n">
        <v>156</v>
      </c>
      <c r="B167" s="21" t="inlineStr">
        <is>
          <t>DRY DRY</t>
        </is>
      </c>
      <c r="C167" s="84" t="inlineStr">
        <is>
          <t>Dry Dry de Deo Roll-On 50 мл</t>
        </is>
      </c>
      <c r="D167" s="80" t="n">
        <v>130000</v>
      </c>
      <c r="E167" s="67" t="n">
        <v>6</v>
      </c>
      <c r="F167" s="13" t="inlineStr">
        <is>
          <t xml:space="preserve">3 года </t>
        </is>
      </c>
      <c r="G167" s="196" t="n">
        <v>3307200000</v>
      </c>
      <c r="H167" s="196" t="n">
        <v>3307002002000000</v>
      </c>
      <c r="I167" s="196" t="n">
        <v>7350061291132</v>
      </c>
      <c r="J167" s="57" t="inlineStr">
        <is>
          <t>в наличии</t>
        </is>
      </c>
      <c r="K167" s="6" t="n"/>
      <c r="L167" s="175" t="n"/>
      <c r="M167" s="176">
        <f>L167*D167</f>
        <v/>
      </c>
      <c r="N167" s="7" t="n"/>
    </row>
    <row r="168" outlineLevel="3" ht="14.4" customFormat="1" customHeight="1" s="152">
      <c r="A168" s="5" t="n">
        <v>157</v>
      </c>
      <c r="B168" s="21" t="inlineStr">
        <is>
          <t>DRY DRY</t>
        </is>
      </c>
      <c r="C168" s="84" t="inlineStr">
        <is>
          <t>Dry Dry de Deo teen Roll-On 50мл</t>
        </is>
      </c>
      <c r="D168" s="80" t="n">
        <v>130000</v>
      </c>
      <c r="E168" s="67" t="n">
        <v>6</v>
      </c>
      <c r="F168" s="13" t="inlineStr">
        <is>
          <t xml:space="preserve">3 года </t>
        </is>
      </c>
      <c r="G168" s="196" t="n">
        <v>3307200000</v>
      </c>
      <c r="H168" s="196" t="n">
        <v>3307002002000000</v>
      </c>
      <c r="I168" s="196" t="n">
        <v>7350061291125</v>
      </c>
      <c r="J168" s="57" t="inlineStr">
        <is>
          <t>в наличии</t>
        </is>
      </c>
      <c r="K168" s="6" t="n"/>
      <c r="L168" s="175" t="n"/>
      <c r="M168" s="176">
        <f>L168*D168</f>
        <v/>
      </c>
      <c r="N168" s="7" t="n"/>
    </row>
    <row r="169" outlineLevel="2" ht="19.2" customFormat="1" customHeight="1" s="66">
      <c r="A169" s="24" t="n"/>
      <c r="B169" s="21" t="n"/>
      <c r="C169" s="88" t="inlineStr">
        <is>
          <t>Косметические средства Dry Ru    (Россия)</t>
        </is>
      </c>
      <c r="D169" s="79" t="n"/>
      <c r="E169" s="43" t="n"/>
      <c r="F169" s="44" t="n"/>
      <c r="G169" s="44" t="n"/>
      <c r="H169" s="44" t="n"/>
      <c r="I169" s="44" t="n"/>
      <c r="J169" s="43" t="n"/>
      <c r="K169" s="27" t="n"/>
      <c r="L169" s="198" t="n"/>
      <c r="M169" s="198" t="n"/>
      <c r="N169" s="29" t="n"/>
    </row>
    <row r="170" outlineLevel="3" ht="15" customFormat="1" customHeight="1" s="11">
      <c r="A170" s="5" t="n">
        <v>158</v>
      </c>
      <c r="B170" s="21" t="inlineStr">
        <is>
          <t>DRY RU</t>
        </is>
      </c>
      <c r="C170" s="84" t="inlineStr">
        <is>
          <t>Dry Ru Ultra 50 мл</t>
        </is>
      </c>
      <c r="D170" s="76" t="n">
        <v>96000</v>
      </c>
      <c r="E170" s="57" t="n">
        <v>50</v>
      </c>
      <c r="F170" s="13" t="inlineStr">
        <is>
          <t>5 лет</t>
        </is>
      </c>
      <c r="G170" s="196" t="n">
        <v>3307200000</v>
      </c>
      <c r="H170" s="196" t="n">
        <v>3307002002000000</v>
      </c>
      <c r="I170" s="174" t="n">
        <v>4627102710062</v>
      </c>
      <c r="J170" s="57" t="inlineStr">
        <is>
          <t>в наличии</t>
        </is>
      </c>
      <c r="K170" s="6" t="n"/>
      <c r="L170" s="175" t="n"/>
      <c r="M170" s="176">
        <f>L170*D170</f>
        <v/>
      </c>
      <c r="N170" s="7" t="n"/>
    </row>
    <row r="171" outlineLevel="3" ht="15" customFormat="1" customHeight="1" s="11">
      <c r="A171" s="5" t="n">
        <v>159</v>
      </c>
      <c r="B171" s="21" t="inlineStr">
        <is>
          <t>DRY RU</t>
        </is>
      </c>
      <c r="C171" s="84" t="inlineStr">
        <is>
          <t>Dry Ru Roll 50 мл</t>
        </is>
      </c>
      <c r="D171" s="76" t="n">
        <v>96000</v>
      </c>
      <c r="E171" s="57" t="n">
        <v>50</v>
      </c>
      <c r="F171" s="55" t="inlineStr">
        <is>
          <t>5 лет</t>
        </is>
      </c>
      <c r="G171" s="196" t="n">
        <v>3307200000</v>
      </c>
      <c r="H171" s="196" t="n">
        <v>3307002002000000</v>
      </c>
      <c r="I171" s="174" t="n">
        <v>4630477330063</v>
      </c>
      <c r="J171" s="57" t="inlineStr">
        <is>
          <t>в наличии</t>
        </is>
      </c>
      <c r="K171" s="6" t="n"/>
      <c r="L171" s="175" t="n"/>
      <c r="M171" s="176">
        <f>L171*D171</f>
        <v/>
      </c>
      <c r="N171" s="7" t="n"/>
    </row>
    <row r="172" outlineLevel="3" ht="15" customFormat="1" customHeight="1" s="11">
      <c r="A172" s="5" t="n">
        <v>160</v>
      </c>
      <c r="B172" s="21" t="inlineStr">
        <is>
          <t>DRY RU</t>
        </is>
      </c>
      <c r="C172" s="84" t="inlineStr">
        <is>
          <t>Dry Ru Forte Plus Roll 50 мл</t>
        </is>
      </c>
      <c r="D172" s="76" t="n">
        <v>96000</v>
      </c>
      <c r="E172" s="57" t="n">
        <v>1</v>
      </c>
      <c r="F172" s="55" t="inlineStr">
        <is>
          <t>5 лет</t>
        </is>
      </c>
      <c r="G172" s="196" t="n">
        <v>3307200000</v>
      </c>
      <c r="H172" s="196" t="n">
        <v>3307002002000000</v>
      </c>
      <c r="I172" s="174" t="n">
        <v>4630477330131</v>
      </c>
      <c r="J172" s="57" t="inlineStr">
        <is>
          <t>в наличии</t>
        </is>
      </c>
      <c r="K172" s="6" t="n"/>
      <c r="L172" s="175" t="n"/>
      <c r="M172" s="176" t="n"/>
      <c r="N172" s="7" t="n"/>
    </row>
    <row r="173" outlineLevel="3" ht="15" customFormat="1" customHeight="1" s="11">
      <c r="A173" s="5" t="n">
        <v>161</v>
      </c>
      <c r="B173" s="21" t="inlineStr">
        <is>
          <t>DRY RU</t>
        </is>
      </c>
      <c r="C173" s="84" t="inlineStr">
        <is>
          <t>Dry Ru Foot Spray 100 мл</t>
        </is>
      </c>
      <c r="D173" s="76" t="n">
        <v>96000</v>
      </c>
      <c r="E173" s="57" t="n">
        <v>1</v>
      </c>
      <c r="F173" s="55" t="inlineStr">
        <is>
          <t>5 лет</t>
        </is>
      </c>
      <c r="G173" s="196" t="n">
        <v>3307200000</v>
      </c>
      <c r="H173" s="196" t="n">
        <v>3307001026000000</v>
      </c>
      <c r="I173" s="174" t="n">
        <v>4627102710093</v>
      </c>
      <c r="J173" s="57" t="inlineStr">
        <is>
          <t>в наличии</t>
        </is>
      </c>
      <c r="K173" s="6" t="n"/>
      <c r="L173" s="175" t="n"/>
      <c r="M173" s="176">
        <f>L173*D173</f>
        <v/>
      </c>
      <c r="N173" s="7" t="n"/>
    </row>
    <row r="174" outlineLevel="3" ht="15" customFormat="1" customHeight="1" s="11">
      <c r="A174" s="5" t="n">
        <v>162</v>
      </c>
      <c r="B174" s="21" t="inlineStr">
        <is>
          <t>DRY RU</t>
        </is>
      </c>
      <c r="C174" s="84" t="inlineStr">
        <is>
          <t>Dry Ru Man Roll 50 мл</t>
        </is>
      </c>
      <c r="D174" s="76" t="n">
        <v>96000</v>
      </c>
      <c r="E174" s="57" t="n">
        <v>1</v>
      </c>
      <c r="F174" s="55" t="inlineStr">
        <is>
          <t>5 лет</t>
        </is>
      </c>
      <c r="G174" s="196" t="n">
        <v>3307200000</v>
      </c>
      <c r="H174" s="196" t="n">
        <v>3307002002000000</v>
      </c>
      <c r="I174" s="174" t="n">
        <v>4627102710833</v>
      </c>
      <c r="J174" s="57" t="inlineStr">
        <is>
          <t>в наличии</t>
        </is>
      </c>
      <c r="K174" s="6" t="n"/>
      <c r="L174" s="175" t="n"/>
      <c r="M174" s="176">
        <f>L174*D174</f>
        <v/>
      </c>
      <c r="N174" s="7" t="n"/>
    </row>
    <row r="175" outlineLevel="3" ht="15" customFormat="1" customHeight="1" s="11">
      <c r="A175" s="5" t="n">
        <v>163</v>
      </c>
      <c r="B175" s="21" t="inlineStr">
        <is>
          <t>DRY RU</t>
        </is>
      </c>
      <c r="C175" s="84" t="inlineStr">
        <is>
          <t>Dry Ru Woman Roll 50 мл</t>
        </is>
      </c>
      <c r="D175" s="76" t="n">
        <v>96000</v>
      </c>
      <c r="E175" s="57" t="n">
        <v>1</v>
      </c>
      <c r="F175" s="55" t="inlineStr">
        <is>
          <t>5 лет</t>
        </is>
      </c>
      <c r="G175" s="196" t="n">
        <v>3307200000</v>
      </c>
      <c r="H175" s="196" t="n">
        <v>3307002002000000</v>
      </c>
      <c r="I175" s="174" t="n">
        <v>4627102710826</v>
      </c>
      <c r="J175" s="57" t="inlineStr">
        <is>
          <t>в наличии</t>
        </is>
      </c>
      <c r="K175" s="6" t="n"/>
      <c r="L175" s="175" t="n"/>
      <c r="M175" s="176">
        <f>L175*D175</f>
        <v/>
      </c>
      <c r="N175" s="7" t="n"/>
    </row>
    <row r="176" outlineLevel="3" ht="15" customFormat="1" customHeight="1" s="11">
      <c r="A176" s="5" t="n">
        <v>164</v>
      </c>
      <c r="B176" s="21" t="inlineStr">
        <is>
          <t>DRY RU</t>
        </is>
      </c>
      <c r="C176" s="84" t="inlineStr">
        <is>
          <t>Dry Ru Cream Woman Roll 50 мл</t>
        </is>
      </c>
      <c r="D176" s="76" t="n">
        <v>90000</v>
      </c>
      <c r="E176" s="57" t="n">
        <v>1</v>
      </c>
      <c r="F176" s="55" t="inlineStr">
        <is>
          <t>5 лет</t>
        </is>
      </c>
      <c r="G176" s="196" t="n">
        <v>3307200000</v>
      </c>
      <c r="H176" s="196" t="n">
        <v>3307002002000000</v>
      </c>
      <c r="I176" s="174" t="n">
        <v>4630477330018</v>
      </c>
      <c r="J176" s="57" t="inlineStr">
        <is>
          <t>в наличии</t>
        </is>
      </c>
      <c r="K176" s="6" t="n"/>
      <c r="L176" s="175" t="n"/>
      <c r="M176" s="176">
        <f>L176*D176</f>
        <v/>
      </c>
      <c r="N176" s="7" t="n"/>
    </row>
    <row r="177" outlineLevel="3" ht="15" customFormat="1" customHeight="1" s="11">
      <c r="A177" s="5" t="n">
        <v>165</v>
      </c>
      <c r="B177" s="21" t="inlineStr">
        <is>
          <t>DRY RU</t>
        </is>
      </c>
      <c r="C177" s="84" t="inlineStr">
        <is>
          <t>Dry RU Stick Man Antiperspirant 55 мл</t>
        </is>
      </c>
      <c r="D177" s="76" t="n">
        <v>79000</v>
      </c>
      <c r="E177" s="57" t="n">
        <v>36</v>
      </c>
      <c r="F177" s="55" t="inlineStr">
        <is>
          <t xml:space="preserve">3 года </t>
        </is>
      </c>
      <c r="G177" s="196" t="n">
        <v>3307200000</v>
      </c>
      <c r="H177" s="196" t="n">
        <v>3307002002000000</v>
      </c>
      <c r="I177" s="174" t="n">
        <v>4603423017219</v>
      </c>
      <c r="J177" s="57" t="inlineStr">
        <is>
          <t>в наличии</t>
        </is>
      </c>
      <c r="K177" s="6" t="n"/>
      <c r="L177" s="175" t="n"/>
      <c r="M177" s="176">
        <f>L177*D177</f>
        <v/>
      </c>
      <c r="N177" s="7" t="n"/>
    </row>
    <row r="178" outlineLevel="3" ht="15" customFormat="1" customHeight="1" s="11">
      <c r="A178" s="5" t="n">
        <v>166</v>
      </c>
      <c r="B178" s="21" t="inlineStr">
        <is>
          <t>DRY RU</t>
        </is>
      </c>
      <c r="C178" s="84" t="inlineStr">
        <is>
          <t>Dry RU Stick Woman Antiperspirant 55 мл</t>
        </is>
      </c>
      <c r="D178" s="76" t="n">
        <v>79000</v>
      </c>
      <c r="E178" s="57" t="n">
        <v>36</v>
      </c>
      <c r="F178" s="55" t="inlineStr">
        <is>
          <t xml:space="preserve">3 года </t>
        </is>
      </c>
      <c r="G178" s="196" t="n">
        <v>3307200000</v>
      </c>
      <c r="H178" s="196" t="n">
        <v>3307002002000000</v>
      </c>
      <c r="I178" s="174" t="n">
        <v>4603423017202</v>
      </c>
      <c r="J178" s="57" t="inlineStr">
        <is>
          <t>в наличии</t>
        </is>
      </c>
      <c r="K178" s="6" t="n"/>
      <c r="L178" s="175" t="n"/>
      <c r="M178" s="176">
        <f>L178*D178</f>
        <v/>
      </c>
      <c r="N178" s="7" t="n"/>
    </row>
    <row r="179" outlineLevel="3" ht="15" customFormat="1" customHeight="1" s="11">
      <c r="A179" s="5" t="n">
        <v>167</v>
      </c>
      <c r="B179" s="21" t="inlineStr">
        <is>
          <t>DRY RU</t>
        </is>
      </c>
      <c r="C179" s="84" t="inlineStr">
        <is>
          <t>Dry Ru Aerozol Active Man 55 мл</t>
        </is>
      </c>
      <c r="D179" s="76" t="n">
        <v>60000</v>
      </c>
      <c r="E179" s="57" t="n">
        <v>12</v>
      </c>
      <c r="F179" s="55" t="inlineStr">
        <is>
          <t xml:space="preserve">3 года </t>
        </is>
      </c>
      <c r="G179" s="196" t="n">
        <v>3307200000</v>
      </c>
      <c r="H179" s="196" t="n">
        <v>3307002002000000</v>
      </c>
      <c r="I179" s="174" t="n">
        <v>4627102710802</v>
      </c>
      <c r="J179" s="57" t="inlineStr">
        <is>
          <t>в наличии</t>
        </is>
      </c>
      <c r="K179" s="6" t="n"/>
      <c r="L179" s="175" t="n"/>
      <c r="M179" s="176">
        <f>L179*D179</f>
        <v/>
      </c>
      <c r="N179" s="7" t="n"/>
    </row>
    <row r="180" outlineLevel="3" ht="15" customFormat="1" customHeight="1" s="11">
      <c r="A180" s="5" t="n">
        <v>168</v>
      </c>
      <c r="B180" s="21" t="inlineStr">
        <is>
          <t>DRY RU</t>
        </is>
      </c>
      <c r="C180" s="84" t="inlineStr">
        <is>
          <t>Dry RU Aerozol Active Boy 125 мл</t>
        </is>
      </c>
      <c r="D180" s="76" t="n">
        <v>55000</v>
      </c>
      <c r="E180" s="57" t="n">
        <v>12</v>
      </c>
      <c r="F180" s="55" t="inlineStr">
        <is>
          <t xml:space="preserve">3 года </t>
        </is>
      </c>
      <c r="G180" s="196" t="n">
        <v>3307200000</v>
      </c>
      <c r="H180" s="196" t="n">
        <v>3307002002000000</v>
      </c>
      <c r="I180" s="174" t="n">
        <v>4627102711014</v>
      </c>
      <c r="J180" s="57" t="inlineStr">
        <is>
          <t>в наличии</t>
        </is>
      </c>
      <c r="K180" s="60" t="n"/>
      <c r="L180" s="175" t="n"/>
      <c r="M180" s="176">
        <f>L180*D180</f>
        <v/>
      </c>
    </row>
    <row r="181" outlineLevel="3" ht="15" customFormat="1" customHeight="1" s="11">
      <c r="A181" s="5" t="n">
        <v>169</v>
      </c>
      <c r="B181" s="21" t="inlineStr">
        <is>
          <t>DRY RU</t>
        </is>
      </c>
      <c r="C181" s="84" t="inlineStr">
        <is>
          <t>Dry RU Aerozol Active Girl 125 мл</t>
        </is>
      </c>
      <c r="D181" s="76" t="n">
        <v>55000</v>
      </c>
      <c r="E181" s="57" t="n">
        <v>12</v>
      </c>
      <c r="F181" s="55" t="inlineStr">
        <is>
          <t xml:space="preserve">3 года </t>
        </is>
      </c>
      <c r="G181" s="196" t="n">
        <v>3307200000</v>
      </c>
      <c r="H181" s="196" t="n">
        <v>3307002002000000</v>
      </c>
      <c r="I181" s="174" t="n">
        <v>4627102711007</v>
      </c>
      <c r="J181" s="57" t="inlineStr">
        <is>
          <t>в наличии</t>
        </is>
      </c>
      <c r="K181" s="60" t="n"/>
      <c r="L181" s="175" t="n"/>
      <c r="M181" s="176">
        <f>L181*D181</f>
        <v/>
      </c>
    </row>
    <row r="182" outlineLevel="2" ht="20.4" customFormat="1" customHeight="1" s="66">
      <c r="A182" s="24" t="n"/>
      <c r="B182" s="22" t="n"/>
      <c r="C182" s="89" t="inlineStr">
        <is>
          <t>Зеленая Дубрава Линия Теймурова pharmlevel     (Россия)</t>
        </is>
      </c>
      <c r="D182" s="81" t="n"/>
      <c r="E182" s="46" t="n"/>
      <c r="F182" s="47" t="n"/>
      <c r="G182" s="47" t="n"/>
      <c r="H182" s="47" t="n"/>
      <c r="I182" s="47" t="n"/>
      <c r="J182" s="48" t="n"/>
      <c r="K182" s="27" t="n"/>
      <c r="L182" s="199" t="n"/>
      <c r="M182" s="199" t="n"/>
      <c r="N182" s="29" t="n"/>
    </row>
    <row r="183" outlineLevel="3" ht="16.2" customFormat="1" customHeight="1" s="7">
      <c r="A183" s="5" t="n">
        <v>170</v>
      </c>
      <c r="B183" s="22" t="inlineStr">
        <is>
          <t>Z D</t>
        </is>
      </c>
      <c r="C183" s="90" t="inlineStr">
        <is>
          <t>"Саномед" Полоскание для полости рта с хлоргексидином (не содержит спирта) 100 мл</t>
        </is>
      </c>
      <c r="D183" s="80" t="n">
        <v>14800</v>
      </c>
      <c r="E183" s="12" t="n">
        <v>50</v>
      </c>
      <c r="F183" s="13" t="inlineStr">
        <is>
          <t xml:space="preserve">3 года </t>
        </is>
      </c>
      <c r="G183" s="196" t="n">
        <v>3304990000</v>
      </c>
      <c r="H183" s="196" t="n">
        <v>3306001002000000</v>
      </c>
      <c r="I183" s="196" t="n">
        <v>4605370002072</v>
      </c>
      <c r="J183" s="57" t="inlineStr">
        <is>
          <t>в наличии</t>
        </is>
      </c>
      <c r="K183" s="6" t="n"/>
      <c r="L183" s="175" t="n"/>
      <c r="M183" s="176">
        <f>L183*D183</f>
        <v/>
      </c>
    </row>
    <row r="184" outlineLevel="3" ht="16.2" customFormat="1" customHeight="1" s="7">
      <c r="A184" s="5" t="n">
        <v>171</v>
      </c>
      <c r="B184" s="22" t="inlineStr">
        <is>
          <t>Z D</t>
        </is>
      </c>
      <c r="C184" s="90" t="inlineStr">
        <is>
          <t>"Саномед" Полоскание для полости рта с хлоргексидином (не содержит спирта) 150 мл</t>
        </is>
      </c>
      <c r="D184" s="80" t="n">
        <v>44800</v>
      </c>
      <c r="E184" s="12" t="n">
        <v>50</v>
      </c>
      <c r="F184" s="13" t="inlineStr">
        <is>
          <t xml:space="preserve">3 года </t>
        </is>
      </c>
      <c r="G184" s="196" t="n">
        <v>3304990000</v>
      </c>
      <c r="H184" s="196" t="n">
        <v>3306001002000000</v>
      </c>
      <c r="I184" s="196" t="n">
        <v>4605370042450</v>
      </c>
      <c r="J184" s="57" t="inlineStr">
        <is>
          <t>в наличии</t>
        </is>
      </c>
      <c r="K184" s="6" t="n"/>
      <c r="L184" s="175" t="n"/>
      <c r="M184" s="176">
        <f>L184*D184</f>
        <v/>
      </c>
    </row>
    <row r="185" outlineLevel="3" ht="16.2" customFormat="1" customHeight="1" s="7">
      <c r="A185" s="5" t="n">
        <v>172</v>
      </c>
      <c r="B185" s="22" t="inlineStr">
        <is>
          <t>Z D</t>
        </is>
      </c>
      <c r="C185" s="90" t="inlineStr">
        <is>
          <t>pharmlevel ТЕЙМУРОВА Крем-паста д/ног от запаха и пота усиленная формула 50г</t>
        </is>
      </c>
      <c r="D185" s="80" t="n">
        <v>18000</v>
      </c>
      <c r="E185" s="12" t="n">
        <v>40</v>
      </c>
      <c r="F185" s="13" t="inlineStr">
        <is>
          <t xml:space="preserve">3 года </t>
        </is>
      </c>
      <c r="G185" s="196" t="n">
        <v>3304990000</v>
      </c>
      <c r="H185" s="196" t="n">
        <v>3304011004000000</v>
      </c>
      <c r="I185" s="196" t="n">
        <v>4605370007329</v>
      </c>
      <c r="J185" s="57" t="inlineStr">
        <is>
          <t>в наличии</t>
        </is>
      </c>
      <c r="K185" s="6" t="n"/>
      <c r="L185" s="175" t="n"/>
      <c r="M185" s="176">
        <f>L185*D185</f>
        <v/>
      </c>
    </row>
    <row r="186" outlineLevel="3" ht="16.2" customFormat="1" customHeight="1" s="7">
      <c r="A186" s="5" t="n">
        <v>173</v>
      </c>
      <c r="B186" s="22" t="inlineStr">
        <is>
          <t>Z D</t>
        </is>
      </c>
      <c r="C186" s="90" t="inlineStr">
        <is>
          <t>pharmlevel ТЕЙМУРОВА Крем - пудра, 50 мл</t>
        </is>
      </c>
      <c r="D186" s="80" t="n">
        <v>20000</v>
      </c>
      <c r="E186" s="12" t="n">
        <v>24</v>
      </c>
      <c r="F186" s="13" t="inlineStr">
        <is>
          <t xml:space="preserve">2 года </t>
        </is>
      </c>
      <c r="G186" s="196" t="n">
        <v>3304990000</v>
      </c>
      <c r="H186" s="196" t="n">
        <v>3304011006000000</v>
      </c>
      <c r="I186" s="196" t="n">
        <v>4605370026597</v>
      </c>
      <c r="J186" s="57" t="inlineStr">
        <is>
          <t>в наличии</t>
        </is>
      </c>
      <c r="K186" s="6" t="n"/>
      <c r="L186" s="175" t="n"/>
      <c r="M186" s="176">
        <f>L186*D186</f>
        <v/>
      </c>
    </row>
    <row r="187" outlineLevel="3" ht="16.2" customFormat="1" customHeight="1" s="7">
      <c r="A187" s="5" t="n">
        <v>174</v>
      </c>
      <c r="B187" s="22" t="inlineStr">
        <is>
          <t>Z D</t>
        </is>
      </c>
      <c r="C187" s="90" t="inlineStr">
        <is>
          <t>pharmlevel ТЕЙМУРОВА Гель антибактериальный от пота 50 мл</t>
        </is>
      </c>
      <c r="D187" s="80" t="n">
        <v>20000</v>
      </c>
      <c r="E187" s="12" t="n">
        <v>24</v>
      </c>
      <c r="F187" s="13" t="inlineStr">
        <is>
          <t xml:space="preserve">2 года </t>
        </is>
      </c>
      <c r="G187" s="196" t="n">
        <v>3307200000</v>
      </c>
      <c r="H187" s="196" t="n">
        <v>3304020003000000</v>
      </c>
      <c r="I187" s="196" t="n">
        <v>4605370021509</v>
      </c>
      <c r="J187" s="57" t="inlineStr">
        <is>
          <t>в наличии</t>
        </is>
      </c>
      <c r="K187" s="6" t="n"/>
      <c r="L187" s="175" t="n"/>
      <c r="M187" s="176">
        <f>L187*D187</f>
        <v/>
      </c>
    </row>
    <row r="188" outlineLevel="3" ht="16.2" customFormat="1" customHeight="1" s="7">
      <c r="A188" s="5" t="n">
        <v>175</v>
      </c>
      <c r="B188" s="22" t="inlineStr">
        <is>
          <t>Z D</t>
        </is>
      </c>
      <c r="C188" s="90" t="inlineStr">
        <is>
          <t>pharmlevel Лосьон-болтушка с цинком Чистая кожа 100 мл</t>
        </is>
      </c>
      <c r="D188" s="80" t="n">
        <v>18000</v>
      </c>
      <c r="E188" s="12" t="n">
        <v>24</v>
      </c>
      <c r="F188" s="13" t="inlineStr">
        <is>
          <t xml:space="preserve">2 года </t>
        </is>
      </c>
      <c r="G188" s="196" t="n">
        <v>3304990000</v>
      </c>
      <c r="H188" s="196" t="n">
        <v>3304013001000000</v>
      </c>
      <c r="I188" s="196" t="n">
        <v>4605370014068</v>
      </c>
      <c r="J188" s="57" t="inlineStr">
        <is>
          <t>в наличии</t>
        </is>
      </c>
      <c r="K188" s="6" t="n"/>
      <c r="L188" s="175" t="n"/>
      <c r="M188" s="176">
        <f>L188*D188</f>
        <v/>
      </c>
    </row>
    <row r="189" outlineLevel="3" ht="16.2" customFormat="1" customHeight="1" s="7">
      <c r="A189" s="5" t="n">
        <v>176</v>
      </c>
      <c r="B189" s="22" t="inlineStr">
        <is>
          <t>Z D</t>
        </is>
      </c>
      <c r="C189" s="90" t="inlineStr">
        <is>
          <t>pharmlevel ТЕЙМУРОВА MEN Спрей для ног от запаха 150 мл</t>
        </is>
      </c>
      <c r="D189" s="80" t="n">
        <v>20000</v>
      </c>
      <c r="E189" s="12" t="n">
        <v>15</v>
      </c>
      <c r="F189" s="13" t="inlineStr">
        <is>
          <t xml:space="preserve">3 года </t>
        </is>
      </c>
      <c r="G189" s="196" t="n">
        <v>3307200000</v>
      </c>
      <c r="H189" s="196" t="n">
        <v>3307001026004000</v>
      </c>
      <c r="I189" s="196" t="n">
        <v>4605370027839</v>
      </c>
      <c r="J189" s="57" t="inlineStr">
        <is>
          <t>в наличии</t>
        </is>
      </c>
      <c r="K189" s="6" t="n"/>
      <c r="L189" s="175" t="n"/>
      <c r="M189" s="176">
        <f>L189*D189</f>
        <v/>
      </c>
    </row>
    <row r="190" outlineLevel="3" ht="16.2" customFormat="1" customHeight="1" s="7">
      <c r="A190" s="5" t="n">
        <v>177</v>
      </c>
      <c r="B190" s="22" t="inlineStr">
        <is>
          <t>Z D</t>
        </is>
      </c>
      <c r="C190" s="90" t="inlineStr">
        <is>
          <t>pharmlevel ТЕЙМУРОВА Спрей  для ног от запаха и пота 150 мл</t>
        </is>
      </c>
      <c r="D190" s="80" t="n">
        <v>16000</v>
      </c>
      <c r="E190" s="12" t="n">
        <v>15</v>
      </c>
      <c r="F190" s="13" t="inlineStr">
        <is>
          <t xml:space="preserve">3 года </t>
        </is>
      </c>
      <c r="G190" s="196" t="n">
        <v>3307200000</v>
      </c>
      <c r="H190" s="196" t="n">
        <v>3307001026004000</v>
      </c>
      <c r="I190" s="196" t="n">
        <v>4605370009125</v>
      </c>
      <c r="J190" s="57" t="inlineStr">
        <is>
          <t>в наличии</t>
        </is>
      </c>
      <c r="K190" s="6" t="n"/>
      <c r="L190" s="175" t="n"/>
      <c r="M190" s="176">
        <f>L190*D190</f>
        <v/>
      </c>
    </row>
    <row r="191" outlineLevel="3" ht="16.2" customFormat="1" customHeight="1" s="7">
      <c r="A191" s="5" t="n">
        <v>178</v>
      </c>
      <c r="B191" s="22" t="inlineStr">
        <is>
          <t>Z D</t>
        </is>
      </c>
      <c r="C191" s="90" t="inlineStr">
        <is>
          <t>ТЕЙМУРОВА Спрей для ног  чайное дерево 150 мл</t>
        </is>
      </c>
      <c r="D191" s="80" t="n">
        <v>18000</v>
      </c>
      <c r="E191" s="12" t="n">
        <v>15</v>
      </c>
      <c r="F191" s="13" t="inlineStr">
        <is>
          <t xml:space="preserve">3 года </t>
        </is>
      </c>
      <c r="G191" s="196" t="n">
        <v>3307200000</v>
      </c>
      <c r="H191" s="196" t="n">
        <v>3307001026004000</v>
      </c>
      <c r="I191" s="196" t="n">
        <v>4605370024821</v>
      </c>
      <c r="J191" s="57" t="inlineStr">
        <is>
          <t>в наличии</t>
        </is>
      </c>
      <c r="K191" s="6" t="n"/>
      <c r="L191" s="175" t="n"/>
      <c r="M191" s="176">
        <f>L191*D191</f>
        <v/>
      </c>
    </row>
    <row r="192" outlineLevel="3" ht="16.2" customFormat="1" customHeight="1" s="7">
      <c r="A192" s="5" t="n">
        <v>179</v>
      </c>
      <c r="B192" s="22" t="inlineStr">
        <is>
          <t>Z D</t>
        </is>
      </c>
      <c r="C192" s="90" t="inlineStr">
        <is>
          <t>ТЕЙМУРОВА Спрей для ног с салициловой кислотой 150 мл</t>
        </is>
      </c>
      <c r="D192" s="80" t="n">
        <v>18000</v>
      </c>
      <c r="E192" s="12" t="n">
        <v>15</v>
      </c>
      <c r="F192" s="13" t="inlineStr">
        <is>
          <t xml:space="preserve">3 года </t>
        </is>
      </c>
      <c r="G192" s="196" t="n">
        <v>3307200000</v>
      </c>
      <c r="H192" s="196" t="n">
        <v>3307001026004000</v>
      </c>
      <c r="I192" s="196" t="n">
        <v>4605370024814</v>
      </c>
      <c r="J192" s="57" t="inlineStr">
        <is>
          <t>в наличии</t>
        </is>
      </c>
      <c r="K192" s="6" t="n"/>
      <c r="L192" s="175" t="n"/>
      <c r="M192" s="176">
        <f>L192*D192</f>
        <v/>
      </c>
    </row>
    <row r="193" outlineLevel="3" ht="16.2" customFormat="1" customHeight="1" s="7">
      <c r="A193" s="5" t="n">
        <v>180</v>
      </c>
      <c r="B193" s="22" t="inlineStr">
        <is>
          <t>Z D</t>
        </is>
      </c>
      <c r="C193" s="90" t="inlineStr">
        <is>
          <t>pharmlevel ТЕЙМУРОВА жидкое мыло-антиперспирант 150 мл</t>
        </is>
      </c>
      <c r="D193" s="80" t="n">
        <v>18000</v>
      </c>
      <c r="E193" s="12" t="n">
        <v>15</v>
      </c>
      <c r="F193" s="13" t="inlineStr">
        <is>
          <t xml:space="preserve">3 года </t>
        </is>
      </c>
      <c r="G193" s="196" t="n">
        <v>3307200000</v>
      </c>
      <c r="H193" s="196" t="n">
        <v>3401001002000000</v>
      </c>
      <c r="I193" s="196" t="n">
        <v>4605370014976</v>
      </c>
      <c r="J193" s="57" t="inlineStr">
        <is>
          <t>в наличии</t>
        </is>
      </c>
      <c r="K193" s="6" t="n"/>
      <c r="L193" s="175" t="n"/>
      <c r="M193" s="176">
        <f>L193*D193</f>
        <v/>
      </c>
    </row>
    <row r="194" outlineLevel="3" ht="16.2" customFormat="1" customHeight="1" s="7">
      <c r="A194" s="5" t="n">
        <v>181</v>
      </c>
      <c r="B194" s="22" t="inlineStr">
        <is>
          <t>Z D</t>
        </is>
      </c>
      <c r="C194" s="91" t="inlineStr">
        <is>
          <t xml:space="preserve">pharmlevel ТЕЙМУРОВА Салфетки влажные гигиенические  (15 шт) </t>
        </is>
      </c>
      <c r="D194" s="80" t="n">
        <v>16000</v>
      </c>
      <c r="E194" s="12" t="n">
        <v>20</v>
      </c>
      <c r="F194" s="13" t="inlineStr">
        <is>
          <t xml:space="preserve">3 года </t>
        </is>
      </c>
      <c r="G194" s="196" t="n">
        <v>3307900008</v>
      </c>
      <c r="H194" s="196" t="n">
        <v>3307001002000000</v>
      </c>
      <c r="I194" s="196" t="n">
        <v>4605370015911</v>
      </c>
      <c r="J194" s="57" t="inlineStr">
        <is>
          <t>в наличии</t>
        </is>
      </c>
      <c r="K194" s="6" t="n"/>
      <c r="L194" s="175" t="n"/>
      <c r="M194" s="176">
        <f>L194*D194</f>
        <v/>
      </c>
    </row>
    <row r="195" outlineLevel="3" ht="16.2" customFormat="1" customHeight="1" s="7">
      <c r="A195" s="5" t="n">
        <v>182</v>
      </c>
      <c r="B195" s="22" t="inlineStr">
        <is>
          <t>Z D</t>
        </is>
      </c>
      <c r="C195" s="90" t="inlineStr">
        <is>
          <t>pharmlevel ТЕЙМУРОВА Шампунь  200 мл</t>
        </is>
      </c>
      <c r="D195" s="80" t="n">
        <v>26000</v>
      </c>
      <c r="E195" s="12" t="n">
        <v>12</v>
      </c>
      <c r="F195" s="13" t="inlineStr">
        <is>
          <t xml:space="preserve">3 года </t>
        </is>
      </c>
      <c r="G195" s="196" t="n">
        <v>3305100000</v>
      </c>
      <c r="H195" s="196" t="n">
        <v>3305005001000000</v>
      </c>
      <c r="I195" s="196" t="n">
        <v>4605370019001</v>
      </c>
      <c r="J195" s="57" t="inlineStr">
        <is>
          <t>в наличии</t>
        </is>
      </c>
      <c r="K195" s="6" t="n"/>
      <c r="L195" s="175" t="n"/>
      <c r="M195" s="176">
        <f>L195*D195</f>
        <v/>
      </c>
    </row>
    <row r="196" outlineLevel="3" ht="16.2" customFormat="1" customHeight="1" s="7">
      <c r="A196" s="5" t="n">
        <v>183</v>
      </c>
      <c r="B196" s="22" t="inlineStr">
        <is>
          <t>Z D</t>
        </is>
      </c>
      <c r="C196" s="90" t="inlineStr">
        <is>
          <t>pharmlevel ТЕЙМУРОВА MEN Шампунь-Гель  220 мл</t>
        </is>
      </c>
      <c r="D196" s="80" t="n">
        <v>30000</v>
      </c>
      <c r="E196" s="12" t="n">
        <v>12</v>
      </c>
      <c r="F196" s="13" t="inlineStr">
        <is>
          <t xml:space="preserve">3 года </t>
        </is>
      </c>
      <c r="G196" s="196" t="n">
        <v>3401300000</v>
      </c>
      <c r="H196" s="196" t="n">
        <v>3305005001000000</v>
      </c>
      <c r="I196" s="196" t="n">
        <v>4605370027822</v>
      </c>
      <c r="J196" s="57" t="inlineStr">
        <is>
          <t>в наличии</t>
        </is>
      </c>
      <c r="K196" s="6" t="n"/>
      <c r="L196" s="175" t="n"/>
      <c r="M196" s="176">
        <f>L196*D196</f>
        <v/>
      </c>
    </row>
    <row r="197" outlineLevel="3" ht="16.2" customFormat="1" customHeight="1" s="7">
      <c r="A197" s="5" t="n">
        <v>184</v>
      </c>
      <c r="B197" s="22" t="inlineStr">
        <is>
          <t>Z D</t>
        </is>
      </c>
      <c r="C197" s="84" t="inlineStr">
        <is>
          <t>ПАНТЕНОЛ ZD Крем универсальный 50 мл</t>
        </is>
      </c>
      <c r="D197" s="80" t="n">
        <v>19800</v>
      </c>
      <c r="E197" s="12" t="n">
        <v>24</v>
      </c>
      <c r="F197" s="13" t="inlineStr">
        <is>
          <t xml:space="preserve">3 года </t>
        </is>
      </c>
      <c r="G197" s="196" t="n">
        <v>3304990000</v>
      </c>
      <c r="H197" s="196" t="n">
        <v>3303980999000000</v>
      </c>
      <c r="I197" s="196" t="n">
        <v>4605370999990</v>
      </c>
      <c r="J197" s="57" t="inlineStr">
        <is>
          <t>в наличии</t>
        </is>
      </c>
      <c r="K197" s="6" t="n"/>
      <c r="L197" s="175" t="n"/>
      <c r="M197" s="176">
        <f>L197*D197</f>
        <v/>
      </c>
    </row>
    <row r="198" outlineLevel="2" ht="16.2" customFormat="1" customHeight="1" s="7">
      <c r="A198" s="5" t="n">
        <v>185</v>
      </c>
      <c r="B198" s="22" t="inlineStr">
        <is>
          <t>Z D</t>
        </is>
      </c>
      <c r="C198" s="84" t="inlineStr">
        <is>
          <t>pharmlevel ПАНТЕНОЛ Крем универсальный 75 мл</t>
        </is>
      </c>
      <c r="D198" s="80" t="n">
        <v>26000</v>
      </c>
      <c r="E198" s="12" t="n">
        <v>12</v>
      </c>
      <c r="F198" s="13" t="inlineStr">
        <is>
          <t xml:space="preserve">3 года </t>
        </is>
      </c>
      <c r="G198" s="196" t="n">
        <v>3304990000</v>
      </c>
      <c r="H198" s="196" t="n">
        <v>3303980999000000</v>
      </c>
      <c r="I198" s="196" t="n">
        <v>4605370034301</v>
      </c>
      <c r="J198" s="57" t="inlineStr">
        <is>
          <t>в наличии</t>
        </is>
      </c>
      <c r="K198" s="6" t="n"/>
      <c r="L198" s="175" t="n"/>
      <c r="M198" s="176">
        <f>L198*D198</f>
        <v/>
      </c>
    </row>
    <row r="199" outlineLevel="2" ht="16.2" customFormat="1" customHeight="1" s="7">
      <c r="A199" s="5" t="n">
        <v>186</v>
      </c>
      <c r="B199" s="22" t="inlineStr">
        <is>
          <t>Z D</t>
        </is>
      </c>
      <c r="C199" s="84" t="inlineStr">
        <is>
          <t>pharmlevel ПАНТЕНОЛ Пенка для лица и тела 150 мл</t>
        </is>
      </c>
      <c r="D199" s="80" t="n">
        <v>32000</v>
      </c>
      <c r="E199" s="12" t="n">
        <v>14</v>
      </c>
      <c r="F199" s="13" t="inlineStr">
        <is>
          <t xml:space="preserve">2 года </t>
        </is>
      </c>
      <c r="G199" s="196" t="n">
        <v>3304990000</v>
      </c>
      <c r="H199" s="196" t="n">
        <v>3304999050000000</v>
      </c>
      <c r="I199" s="196" t="n">
        <v>4605370039689</v>
      </c>
      <c r="J199" s="57" t="inlineStr">
        <is>
          <t>в наличии</t>
        </is>
      </c>
      <c r="K199" s="6" t="n"/>
      <c r="L199" s="175" t="n"/>
      <c r="M199" s="176">
        <f>L199*D199</f>
        <v/>
      </c>
    </row>
    <row r="200" outlineLevel="2" ht="16.2" customFormat="1" customHeight="1" s="7">
      <c r="A200" s="5" t="n">
        <v>187</v>
      </c>
      <c r="B200" s="22" t="inlineStr">
        <is>
          <t>Z D</t>
        </is>
      </c>
      <c r="C200" s="84" t="inlineStr">
        <is>
          <t xml:space="preserve">pharmlevel ВОССТАНАВЛИВАЮЩИЙ крем для ног 100 мл </t>
        </is>
      </c>
      <c r="D200" s="76" t="n">
        <v>26000</v>
      </c>
      <c r="E200" s="54" t="n">
        <v>12</v>
      </c>
      <c r="F200" s="13" t="inlineStr">
        <is>
          <t xml:space="preserve">3 года </t>
        </is>
      </c>
      <c r="G200" s="196" t="n">
        <v>3304990000</v>
      </c>
      <c r="H200" s="196" t="n">
        <v>3303980999000000</v>
      </c>
      <c r="I200" s="174" t="n">
        <v>4605370034578</v>
      </c>
      <c r="J200" s="57" t="inlineStr">
        <is>
          <t>в наличии</t>
        </is>
      </c>
      <c r="K200" s="6" t="n"/>
      <c r="L200" s="175" t="n"/>
      <c r="M200" s="176">
        <f>L200*D200</f>
        <v/>
      </c>
    </row>
    <row r="201" outlineLevel="2" ht="16.2" customFormat="1" customHeight="1" s="7">
      <c r="A201" s="5" t="n">
        <v>188</v>
      </c>
      <c r="B201" s="22" t="inlineStr">
        <is>
          <t>Z D</t>
        </is>
      </c>
      <c r="C201" s="84" t="inlineStr">
        <is>
          <t xml:space="preserve">pharmlevel ОТШЕЛУШИВАЮЩИЙ крем для ног 100 мл </t>
        </is>
      </c>
      <c r="D201" s="76" t="n">
        <v>26000</v>
      </c>
      <c r="E201" s="54" t="n">
        <v>12</v>
      </c>
      <c r="F201" s="55" t="inlineStr">
        <is>
          <t xml:space="preserve">3 года </t>
        </is>
      </c>
      <c r="G201" s="196" t="n">
        <v>3304990000</v>
      </c>
      <c r="H201" s="196" t="n">
        <v>3303980999000000</v>
      </c>
      <c r="I201" s="174" t="n">
        <v>4605370034561</v>
      </c>
      <c r="J201" s="57" t="inlineStr">
        <is>
          <t>в наличии</t>
        </is>
      </c>
      <c r="K201" s="6" t="n"/>
      <c r="L201" s="175" t="n"/>
      <c r="M201" s="176">
        <f>L201*D201</f>
        <v/>
      </c>
    </row>
    <row r="202" outlineLevel="2" ht="16.2" customFormat="1" customHeight="1" s="7">
      <c r="A202" s="5" t="n">
        <v>189</v>
      </c>
      <c r="B202" s="22" t="inlineStr">
        <is>
          <t>Z D</t>
        </is>
      </c>
      <c r="C202" s="84" t="inlineStr">
        <is>
          <t xml:space="preserve">pharmlevel PROСИНЯКОЛ крем универсальный 75 мл </t>
        </is>
      </c>
      <c r="D202" s="76" t="n">
        <v>26000</v>
      </c>
      <c r="E202" s="54" t="n">
        <v>12</v>
      </c>
      <c r="F202" s="13" t="inlineStr">
        <is>
          <t xml:space="preserve">3 года </t>
        </is>
      </c>
      <c r="G202" s="196" t="n">
        <v>3304990000</v>
      </c>
      <c r="H202" s="196" t="n">
        <v>3303980999000000</v>
      </c>
      <c r="I202" s="174" t="n">
        <v>4605370034462</v>
      </c>
      <c r="J202" s="57" t="inlineStr">
        <is>
          <t>в наличии</t>
        </is>
      </c>
      <c r="K202" s="6" t="n"/>
      <c r="L202" s="175" t="n"/>
      <c r="M202" s="176">
        <f>L202*D202</f>
        <v/>
      </c>
    </row>
    <row r="203" outlineLevel="2" ht="16.2" customFormat="1" customHeight="1" s="7">
      <c r="A203" s="5" t="n">
        <v>190</v>
      </c>
      <c r="B203" s="22" t="inlineStr">
        <is>
          <t>Z D</t>
        </is>
      </c>
      <c r="C203" s="84" t="inlineStr">
        <is>
          <t xml:space="preserve">pharmlevel PROПЕДИКЮР крем для ног 75 мл </t>
        </is>
      </c>
      <c r="D203" s="76" t="n">
        <v>26000</v>
      </c>
      <c r="E203" s="54" t="n">
        <v>12</v>
      </c>
      <c r="F203" s="55" t="inlineStr">
        <is>
          <t xml:space="preserve">3 года </t>
        </is>
      </c>
      <c r="G203" s="196" t="n">
        <v>3304990000</v>
      </c>
      <c r="H203" s="196" t="n">
        <v>3303980999000000</v>
      </c>
      <c r="I203" s="174" t="n">
        <v>4605370035636</v>
      </c>
      <c r="J203" s="57" t="inlineStr">
        <is>
          <t>в наличии</t>
        </is>
      </c>
      <c r="K203" s="6" t="n"/>
      <c r="L203" s="175" t="n"/>
      <c r="M203" s="176">
        <f>L203*D203</f>
        <v/>
      </c>
    </row>
    <row r="204" outlineLevel="2" ht="16.2" customFormat="1" customHeight="1" s="11">
      <c r="A204" s="5" t="n">
        <v>191</v>
      </c>
      <c r="B204" s="22" t="inlineStr">
        <is>
          <t>Z D</t>
        </is>
      </c>
      <c r="C204" s="84" t="inlineStr">
        <is>
          <t xml:space="preserve">pharmlevel PROСУСТАВ гель-актив 75 мл </t>
        </is>
      </c>
      <c r="D204" s="76" t="n">
        <v>26000</v>
      </c>
      <c r="E204" s="54" t="n">
        <v>12</v>
      </c>
      <c r="F204" s="13" t="inlineStr">
        <is>
          <t xml:space="preserve">3 года </t>
        </is>
      </c>
      <c r="G204" s="196" t="n">
        <v>3307200000</v>
      </c>
      <c r="H204" s="196" t="n">
        <v>3304011003000000</v>
      </c>
      <c r="I204" s="174" t="n">
        <v>4605370035674</v>
      </c>
      <c r="J204" s="57" t="inlineStr">
        <is>
          <t>в наличии</t>
        </is>
      </c>
      <c r="K204" s="6" t="n"/>
      <c r="L204" s="175" t="n"/>
      <c r="M204" s="176">
        <f>L204*D204</f>
        <v/>
      </c>
      <c r="N204" s="7" t="n"/>
    </row>
    <row r="205" outlineLevel="2" ht="16.2" customFormat="1" customHeight="1" s="7">
      <c r="A205" s="5" t="n">
        <v>192</v>
      </c>
      <c r="B205" s="22" t="inlineStr">
        <is>
          <t>Z D</t>
        </is>
      </c>
      <c r="C205" s="84" t="inlineStr">
        <is>
          <t>pharmlevel PROТРОКСЕРУТИН Спрей для ног 100 мл</t>
        </is>
      </c>
      <c r="D205" s="80" t="n">
        <v>26000</v>
      </c>
      <c r="E205" s="12" t="n">
        <v>23</v>
      </c>
      <c r="F205" s="13" t="inlineStr">
        <is>
          <t xml:space="preserve">3 года </t>
        </is>
      </c>
      <c r="G205" s="196" t="n">
        <v>3307200000</v>
      </c>
      <c r="H205" s="196" t="n">
        <v>3307001026000000</v>
      </c>
      <c r="I205" s="174" t="n">
        <v>4605370036190</v>
      </c>
      <c r="J205" s="57" t="inlineStr">
        <is>
          <t>в наличии</t>
        </is>
      </c>
      <c r="K205" s="6" t="n"/>
      <c r="L205" s="175" t="n"/>
      <c r="M205" s="176">
        <f>L205*D205</f>
        <v/>
      </c>
    </row>
    <row r="206" outlineLevel="2" ht="16.2" customFormat="1" customHeight="1" s="7">
      <c r="A206" s="5" t="n">
        <v>193</v>
      </c>
      <c r="B206" s="22" t="inlineStr">
        <is>
          <t>Z D</t>
        </is>
      </c>
      <c r="C206" s="84" t="inlineStr">
        <is>
          <t>pharmlevel PROМУМИЕТОЛ Крем для сухой кожи 75 мл</t>
        </is>
      </c>
      <c r="D206" s="80" t="n">
        <v>26000</v>
      </c>
      <c r="E206" s="12" t="n">
        <v>12</v>
      </c>
      <c r="F206" s="13" t="inlineStr">
        <is>
          <t xml:space="preserve">2 года </t>
        </is>
      </c>
      <c r="G206" s="196" t="n">
        <v>3304990000</v>
      </c>
      <c r="H206" s="196" t="n">
        <v>3303980999000000</v>
      </c>
      <c r="I206" s="174" t="n">
        <v>4605370035643</v>
      </c>
      <c r="J206" s="57" t="inlineStr">
        <is>
          <t>в наличии</t>
        </is>
      </c>
      <c r="K206" s="6" t="n"/>
      <c r="L206" s="175" t="n"/>
      <c r="M206" s="176">
        <f>L206*D206</f>
        <v/>
      </c>
    </row>
    <row r="207" outlineLevel="2" ht="16.2" customFormat="1" customHeight="1" s="7">
      <c r="A207" s="5" t="n">
        <v>194</v>
      </c>
      <c r="B207" s="22" t="inlineStr">
        <is>
          <t>Z D</t>
        </is>
      </c>
      <c r="C207" s="84" t="inlineStr">
        <is>
          <t>pharmlevel Гель для умывания с цинком 150  мл</t>
        </is>
      </c>
      <c r="D207" s="80" t="n">
        <v>22600</v>
      </c>
      <c r="E207" s="12" t="n">
        <v>9</v>
      </c>
      <c r="F207" s="13" t="inlineStr">
        <is>
          <t xml:space="preserve">3 года </t>
        </is>
      </c>
      <c r="G207" s="196" t="n">
        <v>3304990000</v>
      </c>
      <c r="H207" s="196" t="n">
        <v>3304999050000000</v>
      </c>
      <c r="I207" s="174" t="n">
        <v>4605370040401</v>
      </c>
      <c r="J207" s="57" t="inlineStr">
        <is>
          <t>в наличии</t>
        </is>
      </c>
      <c r="K207" s="6" t="n"/>
      <c r="L207" s="175" t="n"/>
      <c r="M207" s="176">
        <f>L207*D207</f>
        <v/>
      </c>
    </row>
    <row r="208" outlineLevel="2" ht="16.2" customFormat="1" customHeight="1" s="7">
      <c r="A208" s="5" t="n">
        <v>195</v>
      </c>
      <c r="B208" s="22" t="inlineStr">
        <is>
          <t>Z D</t>
        </is>
      </c>
      <c r="C208" s="84" t="inlineStr">
        <is>
          <t>pharmlevel ГИАЛУРОЛ Мицеллярная вода 250 мл</t>
        </is>
      </c>
      <c r="D208" s="80" t="n">
        <v>22600</v>
      </c>
      <c r="E208" s="12" t="n">
        <v>12</v>
      </c>
      <c r="F208" s="13" t="inlineStr">
        <is>
          <t xml:space="preserve">3 года </t>
        </is>
      </c>
      <c r="G208" s="196" t="n">
        <v>3304990000</v>
      </c>
      <c r="H208" s="196" t="n">
        <v>3304999050000000</v>
      </c>
      <c r="I208" s="174" t="n">
        <v>4605370034288</v>
      </c>
      <c r="J208" s="57" t="inlineStr">
        <is>
          <t>в наличии</t>
        </is>
      </c>
      <c r="K208" s="6" t="n"/>
      <c r="L208" s="175" t="n"/>
      <c r="M208" s="176">
        <f>L208*D208</f>
        <v/>
      </c>
    </row>
    <row r="209" outlineLevel="2" ht="16.2" customFormat="1" customHeight="1" s="7">
      <c r="A209" s="5" t="n">
        <v>196</v>
      </c>
      <c r="B209" s="22" t="inlineStr">
        <is>
          <t>Z D</t>
        </is>
      </c>
      <c r="C209" s="84" t="inlineStr">
        <is>
          <t>pharmlevel ГИАЛУРОЛ Мусс-пенка для умывания  150 мл</t>
        </is>
      </c>
      <c r="D209" s="80" t="n">
        <v>22600</v>
      </c>
      <c r="E209" s="12" t="n">
        <v>15</v>
      </c>
      <c r="F209" s="13" t="inlineStr">
        <is>
          <t xml:space="preserve">3 года </t>
        </is>
      </c>
      <c r="G209" s="196" t="n">
        <v>3401300000</v>
      </c>
      <c r="H209" s="196" t="n">
        <v>3304999031000000</v>
      </c>
      <c r="I209" s="174" t="n">
        <v>4605370034271</v>
      </c>
      <c r="J209" s="57" t="inlineStr">
        <is>
          <t>в наличии</t>
        </is>
      </c>
      <c r="K209" s="6" t="n"/>
      <c r="L209" s="175" t="n"/>
      <c r="M209" s="176">
        <f>L209*D209</f>
        <v/>
      </c>
    </row>
    <row r="210" outlineLevel="3" ht="16.2" customFormat="1" customHeight="1" s="7">
      <c r="A210" s="5" t="n">
        <v>197</v>
      </c>
      <c r="B210" s="22" t="inlineStr">
        <is>
          <t>Z D</t>
        </is>
      </c>
      <c r="C210" s="90" t="inlineStr">
        <is>
          <t>pharmlevel Крем для лица с цинком Чистая кожа 50 мл</t>
        </is>
      </c>
      <c r="D210" s="80" t="n">
        <v>19800</v>
      </c>
      <c r="E210" s="12" t="n">
        <v>24</v>
      </c>
      <c r="F210" s="13" t="inlineStr">
        <is>
          <t xml:space="preserve">3 года </t>
        </is>
      </c>
      <c r="G210" s="196" t="n">
        <v>3304990000</v>
      </c>
      <c r="H210" s="196" t="n">
        <v>3304011005000000</v>
      </c>
      <c r="I210" s="174" t="n">
        <v>4605370014051</v>
      </c>
      <c r="J210" s="57" t="inlineStr">
        <is>
          <t>в наличии</t>
        </is>
      </c>
      <c r="K210" s="6" t="n"/>
      <c r="L210" s="175" t="n"/>
      <c r="M210" s="176">
        <f>L210*D210</f>
        <v/>
      </c>
    </row>
    <row r="211" outlineLevel="3" ht="16.2" customFormat="1" customHeight="1" s="7">
      <c r="A211" s="5" t="n">
        <v>198</v>
      </c>
      <c r="B211" s="22" t="inlineStr">
        <is>
          <t>Z D</t>
        </is>
      </c>
      <c r="C211" s="90" t="inlineStr">
        <is>
          <t>pharmlevel ГИАЛУРОЛ Крем-пудра для лица 75 мл</t>
        </is>
      </c>
      <c r="D211" s="80" t="n">
        <v>24000</v>
      </c>
      <c r="E211" s="12" t="n">
        <v>12</v>
      </c>
      <c r="F211" s="13" t="inlineStr">
        <is>
          <t xml:space="preserve">3 года </t>
        </is>
      </c>
      <c r="G211" s="196" t="n">
        <v>3304990000</v>
      </c>
      <c r="H211" s="196" t="n">
        <v>3304011006000000</v>
      </c>
      <c r="I211" s="174" t="n">
        <v>4605370034561</v>
      </c>
      <c r="J211" s="57" t="inlineStr">
        <is>
          <t>в наличии</t>
        </is>
      </c>
      <c r="K211" s="6" t="n"/>
      <c r="L211" s="175" t="n"/>
      <c r="M211" s="176">
        <f>L211*D211</f>
        <v/>
      </c>
    </row>
    <row r="212" outlineLevel="2" ht="16.2" customFormat="1" customHeight="1" s="7">
      <c r="A212" s="5" t="n">
        <v>199</v>
      </c>
      <c r="B212" s="22" t="inlineStr">
        <is>
          <t>Z D</t>
        </is>
      </c>
      <c r="C212" s="84" t="inlineStr">
        <is>
          <t>pharmlevel КОЛЛАГЕН Крем ночной для лица ANTI-AGE 75 мл</t>
        </is>
      </c>
      <c r="D212" s="80" t="n">
        <v>26000</v>
      </c>
      <c r="E212" s="12" t="n">
        <v>12</v>
      </c>
      <c r="F212" s="13" t="inlineStr">
        <is>
          <t xml:space="preserve">3 года </t>
        </is>
      </c>
      <c r="G212" s="196" t="n">
        <v>3304990000</v>
      </c>
      <c r="H212" s="196" t="n">
        <v>3303980999000000</v>
      </c>
      <c r="I212" s="174" t="n">
        <v>4605370036039</v>
      </c>
      <c r="J212" s="57" t="inlineStr">
        <is>
          <t>в наличии</t>
        </is>
      </c>
      <c r="K212" s="6" t="n"/>
      <c r="L212" s="175" t="n"/>
      <c r="M212" s="176">
        <f>L212*D212</f>
        <v/>
      </c>
    </row>
    <row r="213" outlineLevel="2" ht="16.2" customFormat="1" customHeight="1" s="7">
      <c r="A213" s="5" t="n">
        <v>200</v>
      </c>
      <c r="B213" s="22" t="inlineStr">
        <is>
          <t>Z D</t>
        </is>
      </c>
      <c r="C213" s="84" t="inlineStr">
        <is>
          <t>pharmlevel КОЛЛАГЕН Крем дневной для лица ANTI-AGE 75 мл</t>
        </is>
      </c>
      <c r="D213" s="80" t="n">
        <v>26000</v>
      </c>
      <c r="E213" s="12" t="n">
        <v>12</v>
      </c>
      <c r="F213" s="13" t="inlineStr">
        <is>
          <t xml:space="preserve">3 года </t>
        </is>
      </c>
      <c r="G213" s="196" t="n">
        <v>3304990000</v>
      </c>
      <c r="H213" s="196" t="n">
        <v>3303980999000000</v>
      </c>
      <c r="I213" s="174" t="n">
        <v>4605370036022</v>
      </c>
      <c r="J213" s="57" t="inlineStr">
        <is>
          <t>в наличии</t>
        </is>
      </c>
      <c r="K213" s="6" t="n"/>
      <c r="L213" s="175" t="n"/>
      <c r="M213" s="176">
        <f>L213*D213</f>
        <v/>
      </c>
    </row>
    <row r="214" outlineLevel="2" ht="16.2" customFormat="1" customHeight="1" s="7">
      <c r="A214" s="5" t="n">
        <v>201</v>
      </c>
      <c r="B214" s="22" t="inlineStr">
        <is>
          <t>Z D</t>
        </is>
      </c>
      <c r="C214" s="84" t="inlineStr">
        <is>
          <t>pharmlevel ГИАЛУРОЛ Жидкие патчи для кожи вокруг глаз 30 мл</t>
        </is>
      </c>
      <c r="D214" s="80" t="n">
        <v>26000</v>
      </c>
      <c r="E214" s="12" t="n">
        <v>9</v>
      </c>
      <c r="F214" s="13" t="inlineStr">
        <is>
          <t xml:space="preserve">3 года </t>
        </is>
      </c>
      <c r="G214" s="196" t="n">
        <v>3304990000</v>
      </c>
      <c r="H214" s="196" t="n">
        <v>3304999050000000</v>
      </c>
      <c r="I214" s="196" t="n">
        <v>4605370036107</v>
      </c>
      <c r="J214" s="57" t="inlineStr">
        <is>
          <t>в наличии</t>
        </is>
      </c>
      <c r="K214" s="6" t="n"/>
      <c r="L214" s="175" t="n"/>
      <c r="M214" s="176" t="n">
        <v>0</v>
      </c>
    </row>
    <row r="215" ht="22.2" customFormat="1" customHeight="1" s="29">
      <c r="A215" s="50" t="n"/>
      <c r="B215" s="16" t="n"/>
      <c r="C215" s="92" t="inlineStr">
        <is>
          <t>Невская Косметика Крема для лица    (Россия)</t>
        </is>
      </c>
      <c r="D215" s="82" t="n"/>
      <c r="E215" s="51" t="n"/>
      <c r="F215" s="52" t="n"/>
      <c r="G215" s="52" t="n"/>
      <c r="H215" s="52" t="n"/>
      <c r="I215" s="52" t="n"/>
      <c r="J215" s="51" t="n"/>
      <c r="K215" s="27" t="n"/>
      <c r="L215" s="200" t="n"/>
      <c r="M215" s="200" t="n"/>
    </row>
    <row r="216" ht="15.6" customFormat="1" customHeight="1" s="7">
      <c r="A216" s="15" t="n">
        <v>202</v>
      </c>
      <c r="B216" s="16" t="inlineStr">
        <is>
          <t>НК</t>
        </is>
      </c>
      <c r="C216" s="84" t="inlineStr">
        <is>
          <t>НК Крем Ушастый нянь  Детский  100 мл</t>
        </is>
      </c>
      <c r="D216" s="80" t="n">
        <v>31000</v>
      </c>
      <c r="E216" s="12" t="n">
        <v>26</v>
      </c>
      <c r="F216" s="13" t="inlineStr">
        <is>
          <t xml:space="preserve">3 года </t>
        </is>
      </c>
      <c r="G216" s="196" t="n">
        <v>3304990000</v>
      </c>
      <c r="H216" s="196" t="n">
        <v>3304011011000000</v>
      </c>
      <c r="I216" s="196" t="n">
        <v>4600697192208</v>
      </c>
      <c r="J216" s="57" t="inlineStr">
        <is>
          <t>в наличии</t>
        </is>
      </c>
      <c r="K216" s="6" t="n"/>
      <c r="L216" s="175" t="n"/>
      <c r="M216" s="176">
        <f>L216*D216</f>
        <v/>
      </c>
    </row>
    <row r="217" ht="15.6" customFormat="1" customHeight="1" s="7">
      <c r="A217" s="15" t="n">
        <v>203</v>
      </c>
      <c r="B217" s="16" t="inlineStr">
        <is>
          <t>НК</t>
        </is>
      </c>
      <c r="C217" s="84" t="inlineStr">
        <is>
          <t>НК Крем Ушастый нянь Детский защитный под подгузник  100 мл</t>
        </is>
      </c>
      <c r="D217" s="80" t="n">
        <v>31000</v>
      </c>
      <c r="E217" s="12" t="n">
        <v>26</v>
      </c>
      <c r="F217" s="55" t="inlineStr">
        <is>
          <t xml:space="preserve">2,5 года </t>
        </is>
      </c>
      <c r="G217" s="196" t="n">
        <v>3304990000</v>
      </c>
      <c r="H217" s="196" t="n">
        <v>3304011011000000</v>
      </c>
      <c r="I217" s="196" t="n">
        <v>4600697192222</v>
      </c>
      <c r="J217" s="57" t="inlineStr">
        <is>
          <t>в наличии</t>
        </is>
      </c>
      <c r="K217" s="6" t="n"/>
      <c r="L217" s="175" t="n"/>
      <c r="M217" s="176">
        <f>L217*D217</f>
        <v/>
      </c>
    </row>
    <row r="218" ht="15.6" customFormat="1" customHeight="1" s="7">
      <c r="A218" s="15" t="n">
        <v>204</v>
      </c>
      <c r="B218" s="16" t="inlineStr">
        <is>
          <t>НК</t>
        </is>
      </c>
      <c r="C218" s="84" t="inlineStr">
        <is>
          <t>НК Крем для лица Ретинол  40 мл</t>
        </is>
      </c>
      <c r="D218" s="80" t="n">
        <v>18500</v>
      </c>
      <c r="E218" s="12" t="n">
        <v>36</v>
      </c>
      <c r="F218" s="13" t="inlineStr">
        <is>
          <t xml:space="preserve">3 года </t>
        </is>
      </c>
      <c r="G218" s="196" t="n">
        <v>3304990000</v>
      </c>
      <c r="H218" s="196" t="n">
        <v>3304011003000000</v>
      </c>
      <c r="I218" s="196" t="n">
        <v>4600697192635</v>
      </c>
      <c r="J218" s="57" t="inlineStr">
        <is>
          <t>в наличии</t>
        </is>
      </c>
      <c r="K218" s="6" t="n"/>
      <c r="L218" s="175" t="n"/>
      <c r="M218" s="176">
        <f>L218*D218</f>
        <v/>
      </c>
    </row>
    <row r="219" ht="15.6" customFormat="1" customHeight="1" s="7">
      <c r="A219" s="15" t="n">
        <v>205</v>
      </c>
      <c r="B219" s="16" t="inlineStr">
        <is>
          <t>НК</t>
        </is>
      </c>
      <c r="C219" s="84" t="inlineStr">
        <is>
          <t>НК Крем для рук Пантенол  50 мл</t>
        </is>
      </c>
      <c r="D219" s="80" t="n">
        <v>18500</v>
      </c>
      <c r="E219" s="54" t="n">
        <v>36</v>
      </c>
      <c r="F219" s="55" t="inlineStr">
        <is>
          <t xml:space="preserve">3 года </t>
        </is>
      </c>
      <c r="G219" s="196" t="n">
        <v>3304990000</v>
      </c>
      <c r="H219" s="196" t="n">
        <v>3304011005000000</v>
      </c>
      <c r="I219" s="196" t="n">
        <v>4600697192314</v>
      </c>
      <c r="J219" s="57" t="inlineStr">
        <is>
          <t>в наличии</t>
        </is>
      </c>
      <c r="K219" s="6" t="n"/>
      <c r="L219" s="175" t="n"/>
      <c r="M219" s="176">
        <f>L219*D219</f>
        <v/>
      </c>
    </row>
    <row r="220" ht="15.6" customFormat="1" customHeight="1" s="7">
      <c r="A220" s="15" t="n">
        <v>206</v>
      </c>
      <c r="B220" s="16" t="inlineStr">
        <is>
          <t>НК</t>
        </is>
      </c>
      <c r="C220" s="84" t="inlineStr">
        <is>
          <t>НК Крем для лица Спермацетовый 40 мл</t>
        </is>
      </c>
      <c r="D220" s="76" t="n">
        <v>18500</v>
      </c>
      <c r="E220" s="54" t="n">
        <v>36</v>
      </c>
      <c r="F220" s="13" t="inlineStr">
        <is>
          <t xml:space="preserve">3 года </t>
        </is>
      </c>
      <c r="G220" s="196" t="n">
        <v>3304990000</v>
      </c>
      <c r="H220" s="196" t="n">
        <v>3304011005000000</v>
      </c>
      <c r="I220" s="196" t="n">
        <v>4600697192314</v>
      </c>
      <c r="J220" s="57" t="inlineStr">
        <is>
          <t>в наличии</t>
        </is>
      </c>
      <c r="K220" s="6" t="n"/>
      <c r="L220" s="175" t="n"/>
      <c r="M220" s="176">
        <f>L220*D220</f>
        <v/>
      </c>
    </row>
    <row r="221" ht="15.6" customFormat="1" customHeight="1" s="7">
      <c r="A221" s="15" t="n">
        <v>207</v>
      </c>
      <c r="B221" s="16" t="inlineStr">
        <is>
          <t>НК</t>
        </is>
      </c>
      <c r="C221" s="84" t="inlineStr">
        <is>
          <t>НК Крем для лица Ланолиновый 40 мл</t>
        </is>
      </c>
      <c r="D221" s="80" t="n">
        <v>18500</v>
      </c>
      <c r="E221" s="54" t="n">
        <v>36</v>
      </c>
      <c r="F221" s="13" t="inlineStr">
        <is>
          <t xml:space="preserve">3 года </t>
        </is>
      </c>
      <c r="G221" s="196" t="n">
        <v>3304990000</v>
      </c>
      <c r="H221" s="196" t="n">
        <v>3304011005000000</v>
      </c>
      <c r="I221" s="196" t="n">
        <v>4600697192307</v>
      </c>
      <c r="J221" s="57" t="inlineStr">
        <is>
          <t>в наличии</t>
        </is>
      </c>
      <c r="K221" s="6" t="n"/>
      <c r="L221" s="175" t="n"/>
      <c r="M221" s="176">
        <f>L221*D221</f>
        <v/>
      </c>
    </row>
    <row r="222" ht="15.6" customFormat="1" customHeight="1" s="7">
      <c r="A222" s="15" t="n">
        <v>208</v>
      </c>
      <c r="B222" s="16" t="inlineStr">
        <is>
          <t>НК</t>
        </is>
      </c>
      <c r="C222" s="84" t="inlineStr">
        <is>
          <t>НК Крем для лица Гиалуроновый 40 мл</t>
        </is>
      </c>
      <c r="D222" s="76" t="n">
        <v>18500</v>
      </c>
      <c r="E222" s="54" t="n">
        <v>36</v>
      </c>
      <c r="F222" s="13" t="inlineStr">
        <is>
          <t xml:space="preserve">3 года </t>
        </is>
      </c>
      <c r="G222" s="196" t="n">
        <v>3304990000</v>
      </c>
      <c r="H222" s="196" t="n">
        <v>3304011005000000</v>
      </c>
      <c r="I222" s="196" t="n">
        <v>4600697192697</v>
      </c>
      <c r="J222" s="57" t="inlineStr">
        <is>
          <t>в наличии</t>
        </is>
      </c>
      <c r="K222" s="60" t="n"/>
      <c r="L222" s="175" t="n"/>
      <c r="M222" s="176">
        <f>L222*D222</f>
        <v/>
      </c>
      <c r="N222" s="11" t="n"/>
    </row>
    <row r="223" ht="15.6" customFormat="1" customHeight="1" s="7">
      <c r="A223" s="15" t="n">
        <v>209</v>
      </c>
      <c r="B223" s="16" t="inlineStr">
        <is>
          <t>НК</t>
        </is>
      </c>
      <c r="C223" s="84" t="inlineStr">
        <is>
          <t>НК Крем для лица Коллаген 40 мл</t>
        </is>
      </c>
      <c r="D223" s="80" t="n">
        <v>18500</v>
      </c>
      <c r="E223" s="54" t="n">
        <v>36</v>
      </c>
      <c r="F223" s="13" t="inlineStr">
        <is>
          <t xml:space="preserve">3 года </t>
        </is>
      </c>
      <c r="G223" s="196" t="n">
        <v>3304990000</v>
      </c>
      <c r="H223" s="196" t="n">
        <v>3304011005000000</v>
      </c>
      <c r="I223" s="196" t="n">
        <v>4600697192840</v>
      </c>
      <c r="J223" s="57" t="inlineStr">
        <is>
          <t>в наличии</t>
        </is>
      </c>
      <c r="K223" s="6" t="n"/>
      <c r="L223" s="175" t="n"/>
      <c r="M223" s="176">
        <f>L223*D223</f>
        <v/>
      </c>
    </row>
    <row r="224" ht="15.6" customFormat="1" customHeight="1" s="7">
      <c r="A224" s="15" t="n">
        <v>210</v>
      </c>
      <c r="B224" s="16" t="inlineStr">
        <is>
          <t>НК</t>
        </is>
      </c>
      <c r="C224" s="84" t="inlineStr">
        <is>
          <t>НК Крем для лица Морковный  40 мл</t>
        </is>
      </c>
      <c r="D224" s="76" t="n">
        <v>18500</v>
      </c>
      <c r="E224" s="54" t="n">
        <v>36</v>
      </c>
      <c r="F224" s="13" t="inlineStr">
        <is>
          <t xml:space="preserve">3 года </t>
        </is>
      </c>
      <c r="G224" s="196" t="n">
        <v>3304990000</v>
      </c>
      <c r="H224" s="196" t="n">
        <v>3304011005000000</v>
      </c>
      <c r="I224" s="196" t="n">
        <v>4600697192352</v>
      </c>
      <c r="J224" s="57" t="inlineStr">
        <is>
          <t>в наличии</t>
        </is>
      </c>
      <c r="K224" s="6" t="n"/>
      <c r="L224" s="175" t="n"/>
      <c r="M224" s="176">
        <f>L224*D224</f>
        <v/>
      </c>
    </row>
    <row r="225" ht="15.6" customFormat="1" customHeight="1" s="7">
      <c r="A225" s="15" t="n">
        <v>211</v>
      </c>
      <c r="B225" s="16" t="inlineStr">
        <is>
          <t>НК</t>
        </is>
      </c>
      <c r="C225" s="84" t="inlineStr">
        <is>
          <t>НК Крем для лица Персиковый  40 мл</t>
        </is>
      </c>
      <c r="D225" s="80" t="n">
        <v>18500</v>
      </c>
      <c r="E225" s="54" t="n">
        <v>36</v>
      </c>
      <c r="F225" s="13" t="inlineStr">
        <is>
          <t xml:space="preserve">3 года </t>
        </is>
      </c>
      <c r="G225" s="196" t="n">
        <v>3304990000</v>
      </c>
      <c r="H225" s="196" t="n">
        <v>3304011005000000</v>
      </c>
      <c r="I225" s="196" t="n">
        <v>4600697192239</v>
      </c>
      <c r="J225" s="57" t="inlineStr">
        <is>
          <t>в наличии</t>
        </is>
      </c>
      <c r="K225" s="6" t="n"/>
      <c r="L225" s="175" t="n"/>
      <c r="M225" s="176">
        <f>L225*D225</f>
        <v/>
      </c>
    </row>
    <row r="226" ht="15.6" customFormat="1" customHeight="1" s="7">
      <c r="A226" s="15" t="n">
        <v>212</v>
      </c>
      <c r="B226" s="16" t="inlineStr">
        <is>
          <t>НК</t>
        </is>
      </c>
      <c r="C226" s="84" t="inlineStr">
        <is>
          <t>НК Крем для лица Огуречный  40 мл</t>
        </is>
      </c>
      <c r="D226" s="76" t="n">
        <v>18500</v>
      </c>
      <c r="E226" s="54" t="n">
        <v>36</v>
      </c>
      <c r="F226" s="13" t="inlineStr">
        <is>
          <t xml:space="preserve">3 года </t>
        </is>
      </c>
      <c r="G226" s="196" t="n">
        <v>3304990000</v>
      </c>
      <c r="H226" s="196" t="n">
        <v>3304011005000000</v>
      </c>
      <c r="I226" s="196" t="n">
        <v>4600697192369</v>
      </c>
      <c r="J226" s="57" t="inlineStr">
        <is>
          <t>в наличии</t>
        </is>
      </c>
      <c r="K226" s="60" t="n"/>
      <c r="L226" s="175" t="n"/>
      <c r="M226" s="176">
        <f>L226*D226</f>
        <v/>
      </c>
      <c r="N226" s="11" t="n"/>
    </row>
    <row r="227" ht="15.6" customFormat="1" customHeight="1" s="63">
      <c r="A227" s="15" t="n">
        <v>213</v>
      </c>
      <c r="B227" s="16" t="inlineStr">
        <is>
          <t>НК</t>
        </is>
      </c>
      <c r="C227" s="84" t="inlineStr">
        <is>
          <t>НК Крем для лица Оливковый  40 мл</t>
        </is>
      </c>
      <c r="D227" s="80" t="n">
        <v>18500</v>
      </c>
      <c r="E227" s="54" t="n">
        <v>36</v>
      </c>
      <c r="F227" s="13" t="inlineStr">
        <is>
          <t xml:space="preserve">3 года </t>
        </is>
      </c>
      <c r="G227" s="196" t="n">
        <v>3304990000</v>
      </c>
      <c r="H227" s="196" t="n">
        <v>3304011005000000</v>
      </c>
      <c r="I227" s="196" t="n">
        <v>4600697192338</v>
      </c>
      <c r="J227" s="57" t="inlineStr">
        <is>
          <t>в наличии</t>
        </is>
      </c>
      <c r="K227" s="64" t="n"/>
      <c r="L227" s="175" t="n"/>
      <c r="M227" s="176">
        <f>L227*D227</f>
        <v/>
      </c>
      <c r="N227" s="65" t="n"/>
    </row>
    <row r="228" ht="15.6" customFormat="1" customHeight="1" s="7">
      <c r="A228" s="15" t="n">
        <v>214</v>
      </c>
      <c r="B228" s="16" t="inlineStr">
        <is>
          <t>НК</t>
        </is>
      </c>
      <c r="C228" s="84" t="inlineStr">
        <is>
          <t>НК Крем для лица Ромашка 40 мл</t>
        </is>
      </c>
      <c r="D228" s="76" t="n">
        <v>18500</v>
      </c>
      <c r="E228" s="54" t="n">
        <v>36</v>
      </c>
      <c r="F228" s="13" t="inlineStr">
        <is>
          <t xml:space="preserve">3 года </t>
        </is>
      </c>
      <c r="G228" s="196" t="n">
        <v>3304990000</v>
      </c>
      <c r="H228" s="196" t="n">
        <v>3304011005000000</v>
      </c>
      <c r="I228" s="196" t="n">
        <v>4600697192321</v>
      </c>
      <c r="J228" s="57" t="inlineStr">
        <is>
          <t>в наличии</t>
        </is>
      </c>
      <c r="K228" s="6" t="n"/>
      <c r="L228" s="175" t="n"/>
      <c r="M228" s="176">
        <f>L228*D228</f>
        <v/>
      </c>
    </row>
    <row r="229" ht="15.6" customFormat="1" customHeight="1" s="7">
      <c r="A229" s="15" t="n">
        <v>215</v>
      </c>
      <c r="B229" s="16" t="inlineStr">
        <is>
          <t>НК</t>
        </is>
      </c>
      <c r="C229" s="84" t="inlineStr">
        <is>
          <t>НК Гель для лица Алоэ  40 м</t>
        </is>
      </c>
      <c r="D229" s="80" t="n">
        <v>18500</v>
      </c>
      <c r="E229" s="54" t="n">
        <v>36</v>
      </c>
      <c r="F229" s="13" t="inlineStr">
        <is>
          <t xml:space="preserve">3 года </t>
        </is>
      </c>
      <c r="G229" s="196" t="n">
        <v>3304990000</v>
      </c>
      <c r="H229" s="196" t="n">
        <v>3304011005000000</v>
      </c>
      <c r="I229" s="196" t="n">
        <v>4600697192505</v>
      </c>
      <c r="J229" s="57" t="inlineStr">
        <is>
          <t>в наличии</t>
        </is>
      </c>
      <c r="K229" s="6" t="n"/>
      <c r="L229" s="175" t="n"/>
      <c r="M229" s="176">
        <f>L229*D229</f>
        <v/>
      </c>
    </row>
    <row r="230" ht="15.6" customFormat="1" customHeight="1" s="7">
      <c r="A230" s="15" t="n">
        <v>216</v>
      </c>
      <c r="B230" s="16" t="inlineStr">
        <is>
          <t>НК</t>
        </is>
      </c>
      <c r="C230" s="84" t="inlineStr">
        <is>
          <t>НК Крем для лица Женьшеневый  40 мл</t>
        </is>
      </c>
      <c r="D230" s="76" t="n">
        <v>18500</v>
      </c>
      <c r="E230" s="54" t="n">
        <v>36</v>
      </c>
      <c r="F230" s="55" t="inlineStr">
        <is>
          <t xml:space="preserve">3 года </t>
        </is>
      </c>
      <c r="G230" s="174" t="n">
        <v>3304990000</v>
      </c>
      <c r="H230" s="174" t="n">
        <v>3304011005000000</v>
      </c>
      <c r="I230" s="174" t="n">
        <v>4600697193779</v>
      </c>
      <c r="J230" s="57" t="inlineStr">
        <is>
          <t>в наличии</t>
        </is>
      </c>
      <c r="K230" s="61" t="n"/>
      <c r="L230" s="175" t="n"/>
      <c r="M230" s="176">
        <f>L230*D230</f>
        <v/>
      </c>
      <c r="N230" s="62" t="n"/>
    </row>
    <row r="231" ht="15.6" customFormat="1" customHeight="1" s="7">
      <c r="A231" s="15" t="n">
        <v>217</v>
      </c>
      <c r="B231" s="16" t="inlineStr">
        <is>
          <t>НК</t>
        </is>
      </c>
      <c r="C231" s="84" t="inlineStr">
        <is>
          <t>НК Вазелин косметический 40 мл</t>
        </is>
      </c>
      <c r="D231" s="80" t="n">
        <v>18500</v>
      </c>
      <c r="E231" s="54" t="n">
        <v>36</v>
      </c>
      <c r="F231" s="55" t="inlineStr">
        <is>
          <t xml:space="preserve">2,5 года </t>
        </is>
      </c>
      <c r="G231" s="174" t="n">
        <v>3304990000</v>
      </c>
      <c r="H231" s="174" t="n">
        <v>2712001002000000</v>
      </c>
      <c r="I231" s="174" t="n">
        <v>4600697192499</v>
      </c>
      <c r="J231" s="57" t="inlineStr">
        <is>
          <t>в наличии</t>
        </is>
      </c>
      <c r="K231" s="68" t="n"/>
      <c r="L231" s="175" t="n"/>
      <c r="M231" s="176">
        <f>L231*D231</f>
        <v/>
      </c>
      <c r="N231" s="69" t="n"/>
    </row>
    <row r="232" ht="15.6" customFormat="1" customHeight="1" s="7">
      <c r="A232" s="15" t="n">
        <v>218</v>
      </c>
      <c r="B232" s="16" t="inlineStr">
        <is>
          <t>НК</t>
        </is>
      </c>
      <c r="C232" s="84" t="inlineStr">
        <is>
          <t>НК Крем Детский  40 мл</t>
        </is>
      </c>
      <c r="D232" s="76" t="n">
        <v>18500</v>
      </c>
      <c r="E232" s="54" t="n">
        <v>36</v>
      </c>
      <c r="F232" s="55" t="inlineStr">
        <is>
          <t xml:space="preserve">3 года </t>
        </is>
      </c>
      <c r="G232" s="174" t="n">
        <v>3304990000</v>
      </c>
      <c r="H232" s="174" t="n">
        <v>3304011011000000</v>
      </c>
      <c r="I232" s="174" t="n">
        <v>4600697192161</v>
      </c>
      <c r="J232" s="57" t="inlineStr">
        <is>
          <t>в наличии</t>
        </is>
      </c>
      <c r="K232" s="61" t="n"/>
      <c r="L232" s="175" t="n"/>
      <c r="M232" s="176">
        <f>L232*D232</f>
        <v/>
      </c>
      <c r="N232" s="62" t="n"/>
    </row>
    <row r="233" ht="15.6" customFormat="1" customHeight="1" s="7">
      <c r="A233" s="15" t="n">
        <v>219</v>
      </c>
      <c r="B233" s="16" t="inlineStr">
        <is>
          <t>НК</t>
        </is>
      </c>
      <c r="C233" s="84" t="inlineStr">
        <is>
          <t>НК Крем Детский увлажняющий "Тип-Топ"  40 мл</t>
        </is>
      </c>
      <c r="D233" s="76" t="n">
        <v>18500</v>
      </c>
      <c r="E233" s="54" t="n">
        <v>36</v>
      </c>
      <c r="F233" s="55" t="inlineStr">
        <is>
          <t xml:space="preserve">3 года </t>
        </is>
      </c>
      <c r="G233" s="174" t="n">
        <v>3304990000</v>
      </c>
      <c r="H233" s="174" t="n">
        <v>3304011011000000</v>
      </c>
      <c r="I233" s="174" t="n">
        <v>4600697193489</v>
      </c>
      <c r="J233" s="57" t="inlineStr">
        <is>
          <t>в наличии</t>
        </is>
      </c>
      <c r="K233" s="61" t="n"/>
      <c r="L233" s="175" t="n"/>
      <c r="M233" s="176">
        <f>L233*D233</f>
        <v/>
      </c>
      <c r="N233" s="62" t="n"/>
    </row>
    <row r="234" ht="15.6" customFormat="1" customHeight="1" s="7">
      <c r="A234" s="15" t="n">
        <v>220</v>
      </c>
      <c r="B234" s="16" t="inlineStr">
        <is>
          <t>НК</t>
        </is>
      </c>
      <c r="C234" s="84" t="inlineStr">
        <is>
          <t>НК Крем для лица Гранатовый увлажняющий  40 мл</t>
        </is>
      </c>
      <c r="D234" s="80" t="n">
        <v>18500</v>
      </c>
      <c r="E234" s="54" t="n">
        <v>36</v>
      </c>
      <c r="F234" s="55" t="inlineStr">
        <is>
          <t xml:space="preserve">3 года </t>
        </is>
      </c>
      <c r="G234" s="174" t="n">
        <v>3304990000</v>
      </c>
      <c r="H234" s="174" t="n">
        <v>3304011005000000</v>
      </c>
      <c r="I234" s="174" t="n">
        <v>4600697192291</v>
      </c>
      <c r="J234" s="57" t="inlineStr">
        <is>
          <t>в наличии</t>
        </is>
      </c>
      <c r="K234" s="61" t="n"/>
      <c r="L234" s="175" t="n"/>
      <c r="M234" s="176">
        <f>L234*D234</f>
        <v/>
      </c>
      <c r="N234" s="62" t="n"/>
    </row>
    <row r="235" ht="15.6" customFormat="1" customHeight="1" s="70">
      <c r="A235" s="15" t="n">
        <v>221</v>
      </c>
      <c r="B235" s="16" t="inlineStr">
        <is>
          <t>НК</t>
        </is>
      </c>
      <c r="C235" s="84" t="inlineStr">
        <is>
          <t>НК Крем  для лица Миндальный  40 мл</t>
        </is>
      </c>
      <c r="D235" s="76" t="n">
        <v>18500</v>
      </c>
      <c r="E235" s="54" t="n">
        <v>36</v>
      </c>
      <c r="F235" s="55" t="inlineStr">
        <is>
          <t xml:space="preserve">3 года </t>
        </is>
      </c>
      <c r="G235" s="174" t="n">
        <v>3304990000</v>
      </c>
      <c r="H235" s="174" t="n">
        <v>3304011005000000</v>
      </c>
      <c r="I235" s="174" t="n">
        <v>4600697192253</v>
      </c>
      <c r="J235" s="57" t="inlineStr">
        <is>
          <t>в наличии</t>
        </is>
      </c>
      <c r="K235" s="61" t="n"/>
      <c r="L235" s="175" t="n"/>
      <c r="M235" s="176">
        <f>L235*D235</f>
        <v/>
      </c>
      <c r="N235" s="62" t="n"/>
    </row>
    <row r="236" ht="15.6" customFormat="1" customHeight="1" s="70">
      <c r="A236" s="15" t="n">
        <v>222</v>
      </c>
      <c r="B236" s="16" t="inlineStr">
        <is>
          <t>НК</t>
        </is>
      </c>
      <c r="C236" s="84" t="inlineStr">
        <is>
          <t>НК Крем  для лица Авокадо  40 мл</t>
        </is>
      </c>
      <c r="D236" s="80" t="n">
        <v>18500</v>
      </c>
      <c r="E236" s="54" t="n">
        <v>36</v>
      </c>
      <c r="F236" s="55" t="inlineStr">
        <is>
          <t xml:space="preserve">3 года </t>
        </is>
      </c>
      <c r="G236" s="174" t="n">
        <v>3304990000</v>
      </c>
      <c r="H236" s="174" t="n">
        <v>3304011005000000</v>
      </c>
      <c r="I236" s="174" t="n">
        <v>4600697192383</v>
      </c>
      <c r="J236" s="57" t="inlineStr">
        <is>
          <t>в наличии</t>
        </is>
      </c>
      <c r="K236" s="61" t="n"/>
      <c r="L236" s="175" t="n"/>
      <c r="M236" s="176">
        <f>L236*D236</f>
        <v/>
      </c>
      <c r="N236" s="62" t="n"/>
    </row>
    <row r="237" ht="15.6" customFormat="1" customHeight="1" s="71">
      <c r="A237" s="15" t="n">
        <v>223</v>
      </c>
      <c r="B237" s="16" t="inlineStr">
        <is>
          <t>НК</t>
        </is>
      </c>
      <c r="C237" s="84" t="inlineStr">
        <is>
          <t>НК Крем для ног  Подорожниковый  50 мл</t>
        </is>
      </c>
      <c r="D237" s="76" t="n">
        <v>18500</v>
      </c>
      <c r="E237" s="54" t="n">
        <v>36</v>
      </c>
      <c r="F237" s="55" t="inlineStr">
        <is>
          <t xml:space="preserve">3 года </t>
        </is>
      </c>
      <c r="G237" s="174" t="n">
        <v>3304990000</v>
      </c>
      <c r="H237" s="174" t="n">
        <v>3304011005000000</v>
      </c>
      <c r="I237" s="174" t="n">
        <v>4600697192475</v>
      </c>
      <c r="J237" s="57" t="inlineStr">
        <is>
          <t>в наличии</t>
        </is>
      </c>
      <c r="K237" s="68" t="n"/>
      <c r="L237" s="175" t="n"/>
      <c r="M237" s="176">
        <f>L237*D237</f>
        <v/>
      </c>
      <c r="N237" s="69" t="n"/>
    </row>
    <row r="238" ht="15.6" customFormat="1" customHeight="1" s="69">
      <c r="A238" s="15" t="n">
        <v>224</v>
      </c>
      <c r="B238" s="16" t="inlineStr">
        <is>
          <t>НК</t>
        </is>
      </c>
      <c r="C238" s="84" t="inlineStr">
        <is>
          <t>НК Крем для ног  с Мочевиной  50 мл</t>
        </is>
      </c>
      <c r="D238" s="80" t="n">
        <v>18500</v>
      </c>
      <c r="E238" s="54" t="n">
        <v>36</v>
      </c>
      <c r="F238" s="55" t="inlineStr">
        <is>
          <t xml:space="preserve">3 года </t>
        </is>
      </c>
      <c r="G238" s="174" t="n">
        <v>3304990000</v>
      </c>
      <c r="H238" s="174" t="n">
        <v>3304011005000000</v>
      </c>
      <c r="I238" s="174" t="n">
        <v>4600697192925</v>
      </c>
      <c r="J238" s="57" t="inlineStr">
        <is>
          <t>в наличии</t>
        </is>
      </c>
      <c r="K238" s="61" t="n"/>
      <c r="L238" s="175" t="n"/>
      <c r="M238" s="176">
        <f>L238*D238</f>
        <v/>
      </c>
      <c r="N238" s="62" t="n"/>
    </row>
    <row r="239" ht="15.6" customFormat="1" customHeight="1" s="69">
      <c r="A239" s="15" t="n">
        <v>225</v>
      </c>
      <c r="B239" s="16" t="inlineStr">
        <is>
          <t>НК</t>
        </is>
      </c>
      <c r="C239" s="84" t="inlineStr">
        <is>
          <t>НК Крем для рук Силиконовый  50 мл</t>
        </is>
      </c>
      <c r="D239" s="80" t="n">
        <v>18500</v>
      </c>
      <c r="E239" s="54" t="n">
        <v>36</v>
      </c>
      <c r="F239" s="55" t="inlineStr">
        <is>
          <t xml:space="preserve">3 года </t>
        </is>
      </c>
      <c r="G239" s="174" t="n">
        <v>3304990000</v>
      </c>
      <c r="H239" s="174" t="n">
        <v>3304011005000000</v>
      </c>
      <c r="I239" s="174" t="n">
        <v>4600697192918</v>
      </c>
      <c r="J239" s="57" t="inlineStr">
        <is>
          <t>в наличии</t>
        </is>
      </c>
      <c r="K239" s="61" t="n"/>
      <c r="L239" s="175" t="n"/>
      <c r="M239" s="176">
        <f>L239*D239</f>
        <v/>
      </c>
      <c r="N239" s="62" t="n"/>
    </row>
    <row r="240" ht="15.6" customFormat="1" customHeight="1" s="62">
      <c r="A240" s="15" t="n">
        <v>226</v>
      </c>
      <c r="B240" s="16" t="inlineStr">
        <is>
          <t>НК</t>
        </is>
      </c>
      <c r="C240" s="84" t="inlineStr">
        <is>
          <t>НК Крем для рук Оливково-глицериновый  50 мл</t>
        </is>
      </c>
      <c r="D240" s="76" t="n">
        <v>18500</v>
      </c>
      <c r="E240" s="54" t="n">
        <v>36</v>
      </c>
      <c r="F240" s="13" t="inlineStr">
        <is>
          <t xml:space="preserve">3 года </t>
        </is>
      </c>
      <c r="G240" s="196" t="n">
        <v>3304990000</v>
      </c>
      <c r="H240" s="196" t="n">
        <v>3304011005000000</v>
      </c>
      <c r="I240" s="196" t="n">
        <v>4600697192437</v>
      </c>
      <c r="J240" s="57" t="inlineStr">
        <is>
          <t>в наличии</t>
        </is>
      </c>
      <c r="K240" s="64" t="n"/>
      <c r="L240" s="175" t="n"/>
      <c r="M240" s="176">
        <f>L240*D240</f>
        <v/>
      </c>
      <c r="N240" s="65" t="n"/>
    </row>
    <row r="241" ht="15.6" customFormat="1" customHeight="1" s="69">
      <c r="A241" s="15" t="n">
        <v>227</v>
      </c>
      <c r="B241" s="16" t="inlineStr">
        <is>
          <t>НК</t>
        </is>
      </c>
      <c r="C241" s="84" t="inlineStr">
        <is>
          <t>НК Крем для рук  Лимонно-глицериновый  50 мл</t>
        </is>
      </c>
      <c r="D241" s="80" t="n">
        <v>18500</v>
      </c>
      <c r="E241" s="54" t="n">
        <v>36</v>
      </c>
      <c r="F241" s="13" t="inlineStr">
        <is>
          <t xml:space="preserve">3 года </t>
        </is>
      </c>
      <c r="G241" s="196" t="n">
        <v>3304990000</v>
      </c>
      <c r="H241" s="196" t="n">
        <v>3304011005000000</v>
      </c>
      <c r="I241" s="196" t="n">
        <v>4600697192406</v>
      </c>
      <c r="J241" s="57" t="inlineStr">
        <is>
          <t>в наличии</t>
        </is>
      </c>
      <c r="K241" s="6" t="n"/>
      <c r="L241" s="175" t="n"/>
      <c r="M241" s="176">
        <f>L241*D241</f>
        <v/>
      </c>
      <c r="N241" s="7" t="n"/>
    </row>
    <row r="242" ht="15.6" customFormat="1" customHeight="1" s="62">
      <c r="A242" s="15" t="n">
        <v>228</v>
      </c>
      <c r="B242" s="16" t="inlineStr">
        <is>
          <t>НК</t>
        </is>
      </c>
      <c r="C242" s="84" t="inlineStr">
        <is>
          <t>НК Крем для рук  Облепихово-глицериновый  50 мл</t>
        </is>
      </c>
      <c r="D242" s="76" t="n">
        <v>18500</v>
      </c>
      <c r="E242" s="54" t="n">
        <v>36</v>
      </c>
      <c r="F242" s="55" t="inlineStr">
        <is>
          <t xml:space="preserve">3 года </t>
        </is>
      </c>
      <c r="G242" s="174" t="n">
        <v>3304990000</v>
      </c>
      <c r="H242" s="174" t="n">
        <v>3304011005000000</v>
      </c>
      <c r="I242" s="174" t="n">
        <v>4600697192444</v>
      </c>
      <c r="J242" s="57" t="inlineStr">
        <is>
          <t>в наличии</t>
        </is>
      </c>
      <c r="K242" s="61" t="n"/>
      <c r="L242" s="175" t="n"/>
      <c r="M242" s="201">
        <f>L242*D242</f>
        <v/>
      </c>
    </row>
    <row r="243" ht="15.6" customFormat="1" customHeight="1" s="62">
      <c r="A243" s="15" t="n">
        <v>229</v>
      </c>
      <c r="B243" s="16" t="inlineStr">
        <is>
          <t>НК</t>
        </is>
      </c>
      <c r="C243" s="84" t="inlineStr">
        <is>
          <t>НК Сыворотка для лица Гиалуроновая  35 мл</t>
        </is>
      </c>
      <c r="D243" s="80" t="n">
        <v>36000</v>
      </c>
      <c r="E243" s="54" t="n">
        <v>36</v>
      </c>
      <c r="F243" s="13" t="inlineStr">
        <is>
          <t xml:space="preserve">3 года </t>
        </is>
      </c>
      <c r="G243" s="196" t="n">
        <v>3304990000</v>
      </c>
      <c r="H243" s="196" t="n">
        <v>3304999050000000</v>
      </c>
      <c r="I243" s="196" t="n">
        <v>4600697193090</v>
      </c>
      <c r="J243" s="57" t="inlineStr">
        <is>
          <t>в наличии</t>
        </is>
      </c>
      <c r="K243" s="64" t="n"/>
      <c r="L243" s="175" t="n"/>
      <c r="M243" s="176">
        <f>L243*D243</f>
        <v/>
      </c>
      <c r="N243" s="65" t="n"/>
    </row>
    <row r="244" ht="15.6" customFormat="1" customHeight="1" s="62">
      <c r="A244" s="15" t="n">
        <v>230</v>
      </c>
      <c r="B244" s="16" t="inlineStr">
        <is>
          <t>НК</t>
        </is>
      </c>
      <c r="C244" s="84" t="inlineStr">
        <is>
          <t>НК Сыворотка для лица Женьшеневая  35 мл</t>
        </is>
      </c>
      <c r="D244" s="80" t="n">
        <v>36000</v>
      </c>
      <c r="E244" s="54" t="n">
        <v>36</v>
      </c>
      <c r="F244" s="55" t="inlineStr">
        <is>
          <t xml:space="preserve">2,5 года </t>
        </is>
      </c>
      <c r="G244" s="196" t="n">
        <v>3304990000</v>
      </c>
      <c r="H244" s="196" t="n">
        <v>3304999050000000</v>
      </c>
      <c r="I244" s="196" t="n">
        <v>4600697191379</v>
      </c>
      <c r="J244" s="57" t="inlineStr">
        <is>
          <t>в наличии</t>
        </is>
      </c>
      <c r="K244" s="64" t="n"/>
      <c r="L244" s="175" t="n"/>
      <c r="M244" s="176">
        <f>L244*D244</f>
        <v/>
      </c>
      <c r="N244" s="65" t="n"/>
    </row>
    <row r="245" ht="15.6" customFormat="1" customHeight="1" s="7">
      <c r="A245" s="15" t="n">
        <v>231</v>
      </c>
      <c r="B245" s="16" t="inlineStr">
        <is>
          <t>НК</t>
        </is>
      </c>
      <c r="C245" s="84" t="inlineStr">
        <is>
          <t>НК Крем вокруг глаз Женьшеневый 25 мл</t>
        </is>
      </c>
      <c r="D245" s="80" t="n">
        <v>20000</v>
      </c>
      <c r="E245" s="54" t="n">
        <v>36</v>
      </c>
      <c r="F245" s="13" t="inlineStr">
        <is>
          <t xml:space="preserve">3 года </t>
        </is>
      </c>
      <c r="G245" s="196" t="n">
        <v>3304990000</v>
      </c>
      <c r="H245" s="196" t="n">
        <v>3304011005000000</v>
      </c>
      <c r="I245" s="196" t="n">
        <v>4600697193472</v>
      </c>
      <c r="J245" s="57" t="inlineStr">
        <is>
          <t>в наличии</t>
        </is>
      </c>
      <c r="K245" s="6" t="n"/>
      <c r="L245" s="175" t="n"/>
      <c r="M245" s="176">
        <f>L245*D245</f>
        <v/>
      </c>
    </row>
    <row r="246" ht="15.6" customFormat="1" customHeight="1" s="7">
      <c r="A246" s="15" t="n">
        <v>232</v>
      </c>
      <c r="B246" s="16" t="inlineStr">
        <is>
          <t>НК</t>
        </is>
      </c>
      <c r="C246" s="84" t="inlineStr">
        <is>
          <t>НК Крем для рук ACTIVE питание 75 мл</t>
        </is>
      </c>
      <c r="D246" s="80" t="n">
        <v>22000</v>
      </c>
      <c r="E246" s="54" t="n">
        <v>32</v>
      </c>
      <c r="F246" s="13" t="inlineStr">
        <is>
          <t xml:space="preserve">3 года </t>
        </is>
      </c>
      <c r="G246" s="196" t="n">
        <v>3304990000</v>
      </c>
      <c r="H246" s="196" t="n">
        <v>3304011005000000</v>
      </c>
      <c r="I246" s="196" t="n">
        <v>4600697195063</v>
      </c>
      <c r="J246" s="57" t="inlineStr">
        <is>
          <t>в наличии</t>
        </is>
      </c>
      <c r="K246" s="6" t="n"/>
      <c r="L246" s="175" t="n"/>
      <c r="M246" s="176">
        <f>L246*D246</f>
        <v/>
      </c>
    </row>
    <row r="247" ht="15.6" customFormat="1" customHeight="1" s="70">
      <c r="A247" s="15" t="n">
        <v>233</v>
      </c>
      <c r="B247" s="16" t="inlineStr">
        <is>
          <t>НК</t>
        </is>
      </c>
      <c r="C247" s="84" t="inlineStr">
        <is>
          <t>НК Крем для рук и ногтей SPA Забота 75 мл</t>
        </is>
      </c>
      <c r="D247" s="80" t="n">
        <v>22000</v>
      </c>
      <c r="E247" s="54" t="n">
        <v>32</v>
      </c>
      <c r="F247" s="13" t="inlineStr">
        <is>
          <t xml:space="preserve">3 года </t>
        </is>
      </c>
      <c r="G247" s="196" t="n">
        <v>3304990000</v>
      </c>
      <c r="H247" s="196" t="n">
        <v>3304011005000000</v>
      </c>
      <c r="I247" s="196" t="n">
        <v>4600697195070</v>
      </c>
      <c r="J247" s="57" t="inlineStr">
        <is>
          <t>в наличии</t>
        </is>
      </c>
      <c r="K247" s="6" t="n"/>
      <c r="L247" s="175" t="n"/>
      <c r="M247" s="176">
        <f>L247*D247</f>
        <v/>
      </c>
      <c r="N247" s="7" t="n"/>
    </row>
    <row r="248" ht="15.6" customFormat="1" customHeight="1" s="65">
      <c r="A248" s="15" t="n">
        <v>234</v>
      </c>
      <c r="B248" s="16" t="inlineStr">
        <is>
          <t>НК</t>
        </is>
      </c>
      <c r="C248" s="84" t="inlineStr">
        <is>
          <t>НК Крем для ног SUPER смягчение 75 мл</t>
        </is>
      </c>
      <c r="D248" s="80" t="n">
        <v>22000</v>
      </c>
      <c r="E248" s="54" t="n">
        <v>32</v>
      </c>
      <c r="F248" s="13" t="inlineStr">
        <is>
          <t xml:space="preserve">3 года </t>
        </is>
      </c>
      <c r="G248" s="196" t="n">
        <v>3304990000</v>
      </c>
      <c r="H248" s="196" t="n">
        <v>3304011004000000</v>
      </c>
      <c r="I248" s="196" t="n">
        <v>4600697193236</v>
      </c>
      <c r="J248" s="57" t="inlineStr">
        <is>
          <t>в наличии</t>
        </is>
      </c>
      <c r="K248" s="64" t="n"/>
      <c r="L248" s="175" t="n"/>
      <c r="M248" s="176">
        <f>L248*D248</f>
        <v/>
      </c>
    </row>
    <row r="249" ht="15.6" customFormat="1" customHeight="1" s="7">
      <c r="A249" s="15" t="n">
        <v>235</v>
      </c>
      <c r="B249" s="16" t="inlineStr">
        <is>
          <t>НК</t>
        </is>
      </c>
      <c r="C249" s="84" t="inlineStr">
        <is>
          <t>Зубная паста Новый Жемчуг Кальций  125 мл</t>
        </is>
      </c>
      <c r="D249" s="80" t="n">
        <v>14200</v>
      </c>
      <c r="E249" s="54" t="n">
        <v>40</v>
      </c>
      <c r="F249" s="13" t="inlineStr">
        <is>
          <t xml:space="preserve">3 года </t>
        </is>
      </c>
      <c r="G249" s="196" t="n"/>
      <c r="H249" s="196" t="n"/>
      <c r="I249" s="196" t="n">
        <v>4600697171159</v>
      </c>
      <c r="J249" s="57" t="inlineStr">
        <is>
          <t>в наличии</t>
        </is>
      </c>
      <c r="K249" s="64" t="n"/>
      <c r="L249" s="175" t="n"/>
      <c r="M249" s="176">
        <f>L249*D249</f>
        <v/>
      </c>
      <c r="N249" s="65" t="n"/>
    </row>
    <row r="250" ht="15.6" customFormat="1" customHeight="1" s="7">
      <c r="A250" s="15" t="n">
        <v>236</v>
      </c>
      <c r="B250" s="16" t="inlineStr">
        <is>
          <t>НК</t>
        </is>
      </c>
      <c r="C250" s="84" t="inlineStr">
        <is>
          <t>Зубная паста Новый Жемчуг Фтор  125 мл</t>
        </is>
      </c>
      <c r="D250" s="80" t="n">
        <v>14200</v>
      </c>
      <c r="E250" s="54" t="n">
        <v>40</v>
      </c>
      <c r="F250" s="13" t="inlineStr">
        <is>
          <t xml:space="preserve">3 года </t>
        </is>
      </c>
      <c r="G250" s="196" t="n"/>
      <c r="H250" s="196" t="n"/>
      <c r="I250" s="196" t="n">
        <v>4600697171197</v>
      </c>
      <c r="J250" s="57" t="inlineStr">
        <is>
          <t>в наличии</t>
        </is>
      </c>
      <c r="K250" s="64" t="n"/>
      <c r="L250" s="175" t="n"/>
      <c r="M250" s="176">
        <f>L250*D250</f>
        <v/>
      </c>
      <c r="N250" s="65" t="n"/>
    </row>
    <row r="251" ht="15.6" customFormat="1" customHeight="1" s="7">
      <c r="A251" s="15" t="n">
        <v>237</v>
      </c>
      <c r="B251" s="16" t="inlineStr">
        <is>
          <t>НК</t>
        </is>
      </c>
      <c r="C251" s="84" t="inlineStr">
        <is>
          <t>Зубная паста детская Новый Жемчуг Апельсин  50 мл</t>
        </is>
      </c>
      <c r="D251" s="80" t="n">
        <v>12200</v>
      </c>
      <c r="E251" s="54" t="n">
        <v>32</v>
      </c>
      <c r="F251" s="55" t="inlineStr">
        <is>
          <t xml:space="preserve">3,5 года </t>
        </is>
      </c>
      <c r="G251" s="196" t="n"/>
      <c r="H251" s="196" t="n"/>
      <c r="I251" s="196" t="n">
        <v>4600697171050</v>
      </c>
      <c r="J251" s="57" t="inlineStr">
        <is>
          <t>в наличии</t>
        </is>
      </c>
      <c r="K251" s="64" t="n"/>
      <c r="L251" s="175" t="n"/>
      <c r="M251" s="176">
        <f>L251*D251</f>
        <v/>
      </c>
      <c r="N251" s="65" t="n"/>
    </row>
    <row r="252" ht="15.6" customFormat="1" customHeight="1" s="7">
      <c r="A252" s="15" t="n">
        <v>238</v>
      </c>
      <c r="B252" s="16" t="inlineStr">
        <is>
          <t>НК</t>
        </is>
      </c>
      <c r="C252" s="84" t="inlineStr">
        <is>
          <t>Зубная паста детская Новый Жемчуг Клубника  50 мл</t>
        </is>
      </c>
      <c r="D252" s="80" t="n">
        <v>12200</v>
      </c>
      <c r="E252" s="54" t="n">
        <v>32</v>
      </c>
      <c r="F252" s="55" t="inlineStr">
        <is>
          <t xml:space="preserve">3,5 года </t>
        </is>
      </c>
      <c r="G252" s="196" t="n"/>
      <c r="H252" s="196" t="n"/>
      <c r="I252" s="196" t="n">
        <v>4600697171043</v>
      </c>
      <c r="J252" s="57" t="inlineStr">
        <is>
          <t>в наличии</t>
        </is>
      </c>
      <c r="K252" s="64" t="n"/>
      <c r="L252" s="175" t="n"/>
      <c r="M252" s="176">
        <f>L252*D252</f>
        <v/>
      </c>
      <c r="N252" s="65" t="n"/>
    </row>
    <row r="253" ht="15.6" customFormat="1" customHeight="1" s="7">
      <c r="A253" s="15" t="n">
        <v>239</v>
      </c>
      <c r="B253" s="16" t="inlineStr">
        <is>
          <t>НК</t>
        </is>
      </c>
      <c r="C253" s="84" t="inlineStr">
        <is>
          <t>Зубная паста детская Новый Жемчуг Малина  50 мл</t>
        </is>
      </c>
      <c r="D253" s="80" t="n">
        <v>12200</v>
      </c>
      <c r="E253" s="54" t="n">
        <v>32</v>
      </c>
      <c r="F253" s="55" t="inlineStr">
        <is>
          <t xml:space="preserve">3,5 года </t>
        </is>
      </c>
      <c r="G253" s="196" t="n"/>
      <c r="H253" s="196" t="n"/>
      <c r="I253" s="196" t="n">
        <v>4600697171067</v>
      </c>
      <c r="J253" s="57" t="inlineStr">
        <is>
          <t>в наличии</t>
        </is>
      </c>
      <c r="K253" s="64" t="n"/>
      <c r="L253" s="175" t="n"/>
      <c r="M253" s="176">
        <f>L253*D253</f>
        <v/>
      </c>
      <c r="N253" s="65" t="n"/>
    </row>
    <row r="254" ht="15.6" customFormat="1" customHeight="1" s="7">
      <c r="A254" s="15" t="n">
        <v>240</v>
      </c>
      <c r="B254" s="16" t="inlineStr">
        <is>
          <t>НК</t>
        </is>
      </c>
      <c r="C254" s="84" t="inlineStr">
        <is>
          <t>Мыло жидкое НК Дегтярное  300 мл</t>
        </is>
      </c>
      <c r="D254" s="80" t="n">
        <v>21600</v>
      </c>
      <c r="E254" s="54" t="n">
        <v>24</v>
      </c>
      <c r="F254" s="13" t="inlineStr">
        <is>
          <t xml:space="preserve">4 года </t>
        </is>
      </c>
      <c r="G254" s="196" t="n">
        <v>3307200000</v>
      </c>
      <c r="H254" s="196" t="n">
        <v>3401001002000000</v>
      </c>
      <c r="I254" s="196" t="n">
        <v>4600697122052</v>
      </c>
      <c r="J254" s="57" t="inlineStr">
        <is>
          <t>в наличии</t>
        </is>
      </c>
      <c r="K254" s="64" t="n"/>
      <c r="L254" s="175" t="n"/>
      <c r="M254" s="176">
        <f>L254*D254</f>
        <v/>
      </c>
    </row>
    <row r="255" ht="15.6" customHeight="1" s="9">
      <c r="A255" s="15" t="n">
        <v>241</v>
      </c>
      <c r="B255" s="16" t="inlineStr">
        <is>
          <t>НК</t>
        </is>
      </c>
      <c r="C255" s="84" t="inlineStr">
        <is>
          <t>Мыло туалетное твердое НК  Серно-дегтярное  90 гр</t>
        </is>
      </c>
      <c r="D255" s="80" t="n">
        <v>9400</v>
      </c>
      <c r="E255" s="54" t="n">
        <v>72</v>
      </c>
      <c r="F255" s="13" t="inlineStr">
        <is>
          <t xml:space="preserve">3 года </t>
        </is>
      </c>
      <c r="G255" s="196" t="n">
        <v>3307200000</v>
      </c>
      <c r="H255" s="196" t="n">
        <v>3401001001000000</v>
      </c>
      <c r="I255" s="196" t="n">
        <v>4600697102658</v>
      </c>
      <c r="J255" s="57" t="inlineStr">
        <is>
          <t>в наличии</t>
        </is>
      </c>
      <c r="K255" s="64" t="n"/>
      <c r="L255" s="175" t="n"/>
      <c r="M255" s="176">
        <f>L255*D255</f>
        <v/>
      </c>
    </row>
    <row r="256" ht="15.6" customHeight="1" s="9">
      <c r="A256" s="15" t="n">
        <v>242</v>
      </c>
      <c r="B256" s="16" t="inlineStr">
        <is>
          <t>НК</t>
        </is>
      </c>
      <c r="C256" s="84" t="inlineStr">
        <is>
          <t>Шампунь для волос НК  Дегтярный  250 мл</t>
        </is>
      </c>
      <c r="D256" s="80" t="n">
        <v>17400</v>
      </c>
      <c r="E256" s="54" t="n">
        <v>42</v>
      </c>
      <c r="F256" s="13" t="inlineStr">
        <is>
          <t xml:space="preserve">4 года </t>
        </is>
      </c>
      <c r="G256" s="196" t="n">
        <v>3305100000</v>
      </c>
      <c r="H256" s="196" t="n">
        <v>3305005001000000</v>
      </c>
      <c r="I256" s="196" t="n">
        <v>4600697130941</v>
      </c>
      <c r="J256" s="57" t="inlineStr">
        <is>
          <t>в наличии</t>
        </is>
      </c>
      <c r="K256" s="64" t="n"/>
      <c r="L256" s="175" t="n"/>
      <c r="M256" s="176">
        <f>L256*D256</f>
        <v/>
      </c>
    </row>
    <row r="257" customFormat="1" s="10">
      <c r="A257" s="1" t="n"/>
      <c r="B257" s="23" t="n"/>
      <c r="C257" s="93" t="n"/>
      <c r="D257" s="74" t="n"/>
      <c r="E257" s="2" t="n"/>
      <c r="F257" s="3" t="n"/>
      <c r="G257" s="3" t="n"/>
      <c r="H257" s="3" t="n"/>
      <c r="I257" s="3" t="n"/>
      <c r="J257" s="2" t="n"/>
      <c r="K257" s="1" t="n"/>
      <c r="L257" s="166" t="n"/>
      <c r="M257" s="2" t="n"/>
      <c r="N257" s="1" t="n"/>
    </row>
    <row r="258" customFormat="1" s="10">
      <c r="A258" s="1" t="n"/>
      <c r="B258" s="23" t="n"/>
      <c r="C258" s="93" t="n"/>
      <c r="D258" s="74" t="n"/>
      <c r="E258" s="2" t="n"/>
      <c r="F258" s="3" t="n"/>
      <c r="G258" s="3" t="n"/>
      <c r="H258" s="3" t="n"/>
      <c r="I258" s="3" t="n"/>
      <c r="J258" s="2" t="n"/>
      <c r="K258" s="1" t="n"/>
      <c r="L258" s="166" t="n"/>
      <c r="M258" s="2" t="n"/>
      <c r="N258" s="1" t="n"/>
    </row>
    <row r="262" customFormat="1" s="10">
      <c r="A262" s="1" t="n"/>
      <c r="B262" s="23" t="n"/>
      <c r="C262" s="93" t="n"/>
      <c r="D262" s="74" t="n"/>
      <c r="E262" s="2" t="n"/>
      <c r="F262" s="3" t="n"/>
      <c r="G262" s="3" t="n"/>
      <c r="H262" s="3" t="n"/>
      <c r="I262" s="3" t="n"/>
      <c r="J262" s="2" t="n"/>
      <c r="K262" s="1" t="n"/>
      <c r="L262" s="166" t="n"/>
      <c r="M262" s="2" t="n"/>
      <c r="N262" s="1" t="n"/>
    </row>
    <row r="263" customFormat="1" s="10">
      <c r="A263" s="1" t="n"/>
      <c r="B263" s="23" t="n"/>
      <c r="C263" s="93" t="n"/>
      <c r="D263" s="74" t="n"/>
      <c r="E263" s="2" t="n"/>
      <c r="F263" s="3" t="n"/>
      <c r="G263" s="3" t="n"/>
      <c r="H263" s="3" t="n"/>
      <c r="I263" s="3" t="n"/>
      <c r="J263" s="2" t="n"/>
      <c r="K263" s="1" t="n"/>
      <c r="L263" s="166" t="n"/>
      <c r="M263" s="2" t="n"/>
      <c r="N263" s="1" t="n"/>
    </row>
    <row r="266" customFormat="1" s="8">
      <c r="A266" s="1" t="n"/>
      <c r="B266" s="23" t="n"/>
      <c r="C266" s="93" t="n"/>
      <c r="D266" s="74" t="n"/>
      <c r="E266" s="2" t="n"/>
      <c r="F266" s="3" t="n"/>
      <c r="G266" s="3" t="n"/>
      <c r="H266" s="3" t="n"/>
      <c r="I266" s="3" t="n"/>
      <c r="J266" s="2" t="n"/>
      <c r="K266" s="1" t="n"/>
      <c r="L266" s="166" t="n"/>
      <c r="M266" s="2" t="n"/>
      <c r="N266" s="1" t="n"/>
    </row>
    <row r="267" customFormat="1" s="8">
      <c r="A267" s="1" t="n"/>
      <c r="B267" s="23" t="n"/>
      <c r="C267" s="93" t="n"/>
      <c r="D267" s="74" t="n"/>
      <c r="E267" s="2" t="n"/>
      <c r="F267" s="3" t="n"/>
      <c r="G267" s="3" t="n"/>
      <c r="H267" s="3" t="n"/>
      <c r="I267" s="3" t="n"/>
      <c r="J267" s="2" t="n"/>
      <c r="K267" s="1" t="n"/>
      <c r="L267" s="166" t="n"/>
      <c r="M267" s="2" t="n"/>
      <c r="N267" s="1" t="n"/>
    </row>
    <row r="270" customFormat="1" s="8">
      <c r="A270" s="1" t="n"/>
      <c r="B270" s="23" t="n"/>
      <c r="C270" s="93" t="n"/>
      <c r="D270" s="74" t="n"/>
      <c r="E270" s="2" t="n"/>
      <c r="F270" s="3" t="n"/>
      <c r="G270" s="3" t="n"/>
      <c r="H270" s="3" t="n"/>
      <c r="I270" s="3" t="n"/>
      <c r="J270" s="2" t="n"/>
      <c r="K270" s="1" t="n"/>
      <c r="L270" s="166" t="n"/>
      <c r="M270" s="2" t="n"/>
      <c r="N270" s="1" t="n"/>
    </row>
    <row r="274" customFormat="1" s="10">
      <c r="A274" s="1" t="n"/>
      <c r="B274" s="23" t="n"/>
      <c r="C274" s="93" t="n"/>
      <c r="D274" s="74" t="n"/>
      <c r="E274" s="2" t="n"/>
      <c r="F274" s="3" t="n"/>
      <c r="G274" s="3" t="n"/>
      <c r="H274" s="3" t="n"/>
      <c r="I274" s="3" t="n"/>
      <c r="J274" s="2" t="n"/>
      <c r="K274" s="1" t="n"/>
      <c r="L274" s="166" t="n"/>
      <c r="M274" s="2" t="n"/>
      <c r="N274" s="1" t="n"/>
    </row>
  </sheetData>
  <mergeCells count="2">
    <mergeCell ref="A1:C1"/>
    <mergeCell ref="L1:M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59" r:id="rId56"/>
    <hyperlink xmlns:r="http://schemas.openxmlformats.org/officeDocument/2006/relationships" ref="C60" r:id="rId57"/>
    <hyperlink xmlns:r="http://schemas.openxmlformats.org/officeDocument/2006/relationships" ref="C61" r:id="rId58"/>
    <hyperlink xmlns:r="http://schemas.openxmlformats.org/officeDocument/2006/relationships" ref="C62" r:id="rId59"/>
    <hyperlink xmlns:r="http://schemas.openxmlformats.org/officeDocument/2006/relationships" ref="C63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  <hyperlink xmlns:r="http://schemas.openxmlformats.org/officeDocument/2006/relationships" ref="C83" r:id="rId80"/>
    <hyperlink xmlns:r="http://schemas.openxmlformats.org/officeDocument/2006/relationships" ref="C84" r:id="rId81"/>
    <hyperlink xmlns:r="http://schemas.openxmlformats.org/officeDocument/2006/relationships" ref="C86" r:id="rId82"/>
    <hyperlink xmlns:r="http://schemas.openxmlformats.org/officeDocument/2006/relationships" ref="C87" r:id="rId83"/>
    <hyperlink xmlns:r="http://schemas.openxmlformats.org/officeDocument/2006/relationships" ref="C88" r:id="rId84"/>
    <hyperlink xmlns:r="http://schemas.openxmlformats.org/officeDocument/2006/relationships" ref="C89" r:id="rId85"/>
    <hyperlink xmlns:r="http://schemas.openxmlformats.org/officeDocument/2006/relationships" ref="C90" r:id="rId86"/>
    <hyperlink xmlns:r="http://schemas.openxmlformats.org/officeDocument/2006/relationships" ref="C91" r:id="rId87"/>
    <hyperlink xmlns:r="http://schemas.openxmlformats.org/officeDocument/2006/relationships" ref="C92" r:id="rId88"/>
    <hyperlink xmlns:r="http://schemas.openxmlformats.org/officeDocument/2006/relationships" ref="C94" r:id="rId89"/>
    <hyperlink xmlns:r="http://schemas.openxmlformats.org/officeDocument/2006/relationships" ref="C95" r:id="rId90"/>
    <hyperlink xmlns:r="http://schemas.openxmlformats.org/officeDocument/2006/relationships" ref="C96" r:id="rId91"/>
    <hyperlink xmlns:r="http://schemas.openxmlformats.org/officeDocument/2006/relationships" ref="C97" r:id="rId92"/>
    <hyperlink xmlns:r="http://schemas.openxmlformats.org/officeDocument/2006/relationships" ref="C98" r:id="rId93"/>
    <hyperlink xmlns:r="http://schemas.openxmlformats.org/officeDocument/2006/relationships" ref="C99" r:id="rId94"/>
    <hyperlink xmlns:r="http://schemas.openxmlformats.org/officeDocument/2006/relationships" ref="C100" r:id="rId95"/>
    <hyperlink xmlns:r="http://schemas.openxmlformats.org/officeDocument/2006/relationships" ref="C101" r:id="rId96"/>
    <hyperlink xmlns:r="http://schemas.openxmlformats.org/officeDocument/2006/relationships" ref="C102" r:id="rId97"/>
    <hyperlink xmlns:r="http://schemas.openxmlformats.org/officeDocument/2006/relationships" ref="C103" r:id="rId98"/>
    <hyperlink xmlns:r="http://schemas.openxmlformats.org/officeDocument/2006/relationships" ref="C104" r:id="rId99"/>
    <hyperlink xmlns:r="http://schemas.openxmlformats.org/officeDocument/2006/relationships" ref="C105" r:id="rId100"/>
    <hyperlink xmlns:r="http://schemas.openxmlformats.org/officeDocument/2006/relationships" ref="C106" r:id="rId101"/>
    <hyperlink xmlns:r="http://schemas.openxmlformats.org/officeDocument/2006/relationships" ref="C107" r:id="rId102"/>
    <hyperlink xmlns:r="http://schemas.openxmlformats.org/officeDocument/2006/relationships" ref="C109" r:id="rId103"/>
    <hyperlink xmlns:r="http://schemas.openxmlformats.org/officeDocument/2006/relationships" ref="C110" r:id="rId104"/>
    <hyperlink xmlns:r="http://schemas.openxmlformats.org/officeDocument/2006/relationships" ref="C111" r:id="rId105"/>
    <hyperlink xmlns:r="http://schemas.openxmlformats.org/officeDocument/2006/relationships" ref="C113" r:id="rId106"/>
    <hyperlink xmlns:r="http://schemas.openxmlformats.org/officeDocument/2006/relationships" ref="C114" r:id="rId107"/>
    <hyperlink xmlns:r="http://schemas.openxmlformats.org/officeDocument/2006/relationships" ref="C115" r:id="rId108"/>
    <hyperlink xmlns:r="http://schemas.openxmlformats.org/officeDocument/2006/relationships" ref="C116" r:id="rId109"/>
    <hyperlink xmlns:r="http://schemas.openxmlformats.org/officeDocument/2006/relationships" ref="C117" r:id="rId110"/>
    <hyperlink xmlns:r="http://schemas.openxmlformats.org/officeDocument/2006/relationships" ref="C118" r:id="rId111"/>
    <hyperlink xmlns:r="http://schemas.openxmlformats.org/officeDocument/2006/relationships" ref="C119" r:id="rId112"/>
    <hyperlink xmlns:r="http://schemas.openxmlformats.org/officeDocument/2006/relationships" ref="C121" r:id="rId113"/>
    <hyperlink xmlns:r="http://schemas.openxmlformats.org/officeDocument/2006/relationships" ref="C122" r:id="rId114"/>
    <hyperlink xmlns:r="http://schemas.openxmlformats.org/officeDocument/2006/relationships" ref="C123" r:id="rId115"/>
    <hyperlink xmlns:r="http://schemas.openxmlformats.org/officeDocument/2006/relationships" ref="C125" r:id="rId116"/>
    <hyperlink xmlns:r="http://schemas.openxmlformats.org/officeDocument/2006/relationships" ref="C126" r:id="rId117"/>
    <hyperlink xmlns:r="http://schemas.openxmlformats.org/officeDocument/2006/relationships" ref="C127" r:id="rId118"/>
    <hyperlink xmlns:r="http://schemas.openxmlformats.org/officeDocument/2006/relationships" ref="C128" r:id="rId119"/>
    <hyperlink xmlns:r="http://schemas.openxmlformats.org/officeDocument/2006/relationships" ref="C129" r:id="rId120"/>
    <hyperlink xmlns:r="http://schemas.openxmlformats.org/officeDocument/2006/relationships" ref="C131" r:id="rId121"/>
    <hyperlink xmlns:r="http://schemas.openxmlformats.org/officeDocument/2006/relationships" ref="C132" r:id="rId122"/>
    <hyperlink xmlns:r="http://schemas.openxmlformats.org/officeDocument/2006/relationships" ref="C133" r:id="rId123"/>
    <hyperlink xmlns:r="http://schemas.openxmlformats.org/officeDocument/2006/relationships" ref="C134" r:id="rId124"/>
    <hyperlink xmlns:r="http://schemas.openxmlformats.org/officeDocument/2006/relationships" ref="C135" r:id="rId125"/>
    <hyperlink xmlns:r="http://schemas.openxmlformats.org/officeDocument/2006/relationships" ref="C136" r:id="rId126"/>
    <hyperlink xmlns:r="http://schemas.openxmlformats.org/officeDocument/2006/relationships" ref="C137" r:id="rId127"/>
    <hyperlink xmlns:r="http://schemas.openxmlformats.org/officeDocument/2006/relationships" ref="C138" r:id="rId128"/>
    <hyperlink xmlns:r="http://schemas.openxmlformats.org/officeDocument/2006/relationships" ref="C139" r:id="rId129"/>
    <hyperlink xmlns:r="http://schemas.openxmlformats.org/officeDocument/2006/relationships" ref="C140" r:id="rId130"/>
    <hyperlink xmlns:r="http://schemas.openxmlformats.org/officeDocument/2006/relationships" ref="C141" r:id="rId131"/>
    <hyperlink xmlns:r="http://schemas.openxmlformats.org/officeDocument/2006/relationships" ref="C142" r:id="rId132"/>
    <hyperlink xmlns:r="http://schemas.openxmlformats.org/officeDocument/2006/relationships" ref="C143" r:id="rId133"/>
    <hyperlink xmlns:r="http://schemas.openxmlformats.org/officeDocument/2006/relationships" ref="C144" r:id="rId134"/>
    <hyperlink xmlns:r="http://schemas.openxmlformats.org/officeDocument/2006/relationships" ref="C145" r:id="rId135"/>
    <hyperlink xmlns:r="http://schemas.openxmlformats.org/officeDocument/2006/relationships" ref="C146" r:id="rId136"/>
    <hyperlink xmlns:r="http://schemas.openxmlformats.org/officeDocument/2006/relationships" ref="C148" r:id="rId137"/>
    <hyperlink xmlns:r="http://schemas.openxmlformats.org/officeDocument/2006/relationships" ref="C149" r:id="rId138"/>
    <hyperlink xmlns:r="http://schemas.openxmlformats.org/officeDocument/2006/relationships" ref="C150" r:id="rId139"/>
    <hyperlink xmlns:r="http://schemas.openxmlformats.org/officeDocument/2006/relationships" ref="C151" r:id="rId140"/>
    <hyperlink xmlns:r="http://schemas.openxmlformats.org/officeDocument/2006/relationships" ref="C152" r:id="rId141"/>
    <hyperlink xmlns:r="http://schemas.openxmlformats.org/officeDocument/2006/relationships" ref="C153" r:id="rId142"/>
    <hyperlink xmlns:r="http://schemas.openxmlformats.org/officeDocument/2006/relationships" ref="C154" r:id="rId143"/>
  </hyperlinks>
  <pageMargins left="0.39375" right="0.39375" top="0.39375" bottom="0.39375" header="0.511811023622047" footer="0.511811023622047"/>
  <pageSetup orientation="portrait" pageOrder="overThenDown" horizontalDpi="300" verticalDpi="300"/>
  <drawing xmlns:r="http://schemas.openxmlformats.org/officeDocument/2006/relationships" r:id="rId14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90" zoomScaleNormal="90" workbookViewId="0">
      <selection activeCell="G25" sqref="G25"/>
    </sheetView>
  </sheetViews>
  <sheetFormatPr baseColWidth="8" defaultColWidth="8.7109375" defaultRowHeight="10.2"/>
  <cols>
    <col width="62.7109375" customWidth="1" style="9" min="7" max="7"/>
  </cols>
  <sheetData/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Александр</dc:creator>
  <dc:language>ru-RU</dc:language>
  <dcterms:created xsi:type="dcterms:W3CDTF">2020-09-29T11:52:53Z</dcterms:created>
  <dcterms:modified xsi:type="dcterms:W3CDTF">2026-09-02T00:34:44Z</dcterms:modified>
  <cp:lastModifiedBy>User</cp:lastModifiedBy>
  <cp:revision>88</cp:revision>
</cp:coreProperties>
</file>