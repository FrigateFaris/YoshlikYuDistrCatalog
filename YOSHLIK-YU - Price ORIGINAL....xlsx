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500" firstSheet="0" activeTab="0" autoFilterDateGrouping="1"/>
  </bookViews>
  <sheets>
    <sheet name="TDSheet" sheetId="1" state="visible" r:id="rId1"/>
    <sheet name="Лист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#\ ?/?"/>
    <numFmt numFmtId="165" formatCode="_-* #,##0\ _₽_-;\-* #,##0\ _₽_-;_-* \-??\ _₽_-;_-@_-"/>
    <numFmt numFmtId="166" formatCode="_-* #,##0.00\ _₽_-;\-* #,##0.00\ _₽_-;_-* \-??\ _₽_-;_-@_-"/>
  </numFmts>
  <fonts count="26">
    <font>
      <name val="Arial"/>
      <charset val="1"/>
      <sz val="8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color rgb="FF000000"/>
      <sz val="8"/>
    </font>
    <font>
      <name val="Comic Sans MS"/>
      <charset val="1"/>
      <family val="4"/>
      <color rgb="FF000000"/>
      <sz val="8"/>
    </font>
    <font>
      <name val="Comic Sans MS"/>
      <charset val="1"/>
      <family val="4"/>
      <i val="1"/>
      <color rgb="FF000000"/>
      <sz val="8"/>
    </font>
    <font>
      <name val="Arial"/>
      <charset val="204"/>
      <family val="2"/>
      <color rgb="FFFFFFFF"/>
      <sz val="8"/>
    </font>
    <font>
      <name val="Arial"/>
      <charset val="204"/>
      <family val="2"/>
      <sz val="8"/>
    </font>
    <font>
      <name val="Century Gothic"/>
      <charset val="204"/>
      <family val="2"/>
      <b val="1"/>
      <color rgb="FF000000"/>
      <sz val="9"/>
    </font>
    <font>
      <name val="Century Gothic"/>
      <charset val="204"/>
      <family val="2"/>
      <b val="1"/>
      <sz val="9"/>
    </font>
    <font>
      <name val="Arial"/>
      <charset val="204"/>
      <family val="2"/>
      <sz val="9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i val="1"/>
      <color rgb="FF000000"/>
      <sz val="9"/>
    </font>
    <font>
      <name val="Arial"/>
      <charset val="204"/>
      <family val="2"/>
      <b val="1"/>
      <color rgb="FF003366"/>
      <sz val="9"/>
    </font>
    <font>
      <name val="Candara"/>
      <charset val="204"/>
      <family val="2"/>
      <b val="1"/>
      <color rgb="FF000000"/>
      <sz val="12"/>
    </font>
    <font>
      <name val="Century Gothic"/>
      <charset val="204"/>
      <family val="2"/>
      <color theme="1"/>
      <sz val="11"/>
    </font>
    <font>
      <name val="Century Gothic"/>
      <charset val="204"/>
      <family val="2"/>
      <b val="1"/>
      <color theme="1"/>
      <sz val="11"/>
    </font>
    <font>
      <name val="Berlin Sans FB"/>
      <family val="2"/>
      <color rgb="FF000000"/>
      <sz val="11"/>
    </font>
    <font>
      <name val="Arial"/>
      <charset val="204"/>
      <family val="2"/>
      <color rgb="FF000000"/>
      <sz val="11"/>
    </font>
    <font>
      <name val="Arial"/>
      <charset val="204"/>
      <family val="2"/>
      <sz val="11"/>
    </font>
    <font>
      <name val="Berlin Sans FB"/>
      <family val="2"/>
      <sz val="34"/>
    </font>
    <font>
      <name val="Berlin Sans FB"/>
      <family val="2"/>
      <b val="1"/>
      <color rgb="FF000000"/>
      <sz val="12"/>
    </font>
    <font>
      <name val="Berlin Sans FB"/>
      <family val="2"/>
      <b val="1"/>
      <color theme="1"/>
      <sz val="12"/>
    </font>
    <font>
      <name val="Berlin Sans FB"/>
      <family val="2"/>
      <b val="1"/>
      <sz val="12"/>
    </font>
    <font>
      <name val="Berlin Sans FB"/>
      <family val="2"/>
      <color theme="1"/>
      <sz val="11"/>
    </font>
    <font>
      <name val="Berlin Sans FB"/>
      <color rgb="FF0563C1"/>
      <sz val="11"/>
      <u val="single"/>
    </font>
  </fonts>
  <fills count="3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3A2C7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E994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rgb="FF80F07A"/>
        <bgColor rgb="FFC0C0C0"/>
      </patternFill>
    </fill>
    <fill>
      <patternFill patternType="solid">
        <fgColor rgb="FF80F07A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rgb="FFFFFF00"/>
        <b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rgb="FF9999FF"/>
      </patternFill>
    </fill>
    <fill>
      <patternFill patternType="solid">
        <fgColor theme="3" tint="0.5999938962981048"/>
        <bgColor rgb="FFFFFF00"/>
      </patternFill>
    </fill>
    <fill>
      <patternFill patternType="solid">
        <fgColor theme="0" tint="-0.1499984740745262"/>
        <bgColor rgb="FFFFCC99"/>
      </patternFill>
    </fill>
    <fill>
      <patternFill patternType="solid">
        <fgColor theme="0" tint="-0.1499984740745262"/>
        <b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FFFF00"/>
      </patternFill>
    </fill>
    <fill>
      <patternFill patternType="solid">
        <fgColor rgb="FF75C71B"/>
        <bgColor rgb="FFFFCC99"/>
      </patternFill>
    </fill>
    <fill>
      <patternFill patternType="solid">
        <fgColor theme="6" tint="0.3999755851924192"/>
        <bgColor rgb="FFC0C0C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rgb="FFFFCC99"/>
      </patternFill>
    </fill>
    <fill>
      <patternFill patternType="solid">
        <fgColor theme="7" tint="0.3999755851924192"/>
        <bgColor rgb="FFFFFFCC"/>
      </patternFill>
    </fill>
    <fill>
      <patternFill patternType="solid">
        <fgColor theme="7" tint="0.3999755851924192"/>
        <bgColor rgb="FFFFFF0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-0.249977111117893"/>
        <bgColor rgb="FFFFCC99"/>
      </patternFill>
    </fill>
    <fill>
      <patternFill patternType="solid">
        <fgColor theme="4" tint="-0.249977111117893"/>
        <b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00"/>
      </patternFill>
    </fill>
    <fill>
      <patternFill patternType="solid">
        <fgColor theme="4" tint="0.5999938962981048"/>
        <bgColor rgb="FFFFFF0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FFCC99"/>
      </patternFill>
    </fill>
    <fill>
      <patternFill patternType="solid">
        <fgColor theme="4" tint="0.5999938962981048"/>
        <bgColor rgb="FFFFFFCC"/>
      </patternFill>
    </fill>
    <fill>
      <patternFill patternType="solid">
        <fgColor rgb="FFFFFF00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6" fontId="7" fillId="0" borderId="0"/>
  </cellStyleXfs>
  <cellXfs count="16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1" fillId="0" borderId="0" applyAlignment="1" pivotButton="0" quotePrefix="0" xfId="1">
      <alignment horizontal="left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2" fillId="0" borderId="0" applyAlignment="1" pivotButton="0" quotePrefix="0" xfId="1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center" vertical="center"/>
    </xf>
    <xf numFmtId="4" fontId="11" fillId="3" borderId="2" applyAlignment="1" pivotButton="0" quotePrefix="0" xfId="0">
      <alignment horizontal="right" vertical="center"/>
    </xf>
    <xf numFmtId="164" fontId="12" fillId="3" borderId="2" applyAlignment="1" pivotButton="0" quotePrefix="0" xfId="0">
      <alignment horizontal="right" vertical="center"/>
    </xf>
    <xf numFmtId="0" fontId="10" fillId="0" borderId="2" applyAlignment="1" pivotButton="0" quotePrefix="0" xfId="0">
      <alignment vertical="center"/>
    </xf>
    <xf numFmtId="165" fontId="13" fillId="3" borderId="2" applyAlignment="1" pivotButton="0" quotePrefix="0" xfId="1">
      <alignment horizontal="right" vertical="center"/>
    </xf>
    <xf numFmtId="0" fontId="10" fillId="0" borderId="0" applyAlignment="1" pivotButton="0" quotePrefix="0" xfId="0">
      <alignment vertical="center"/>
    </xf>
    <xf numFmtId="4" fontId="11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0" fillId="8" borderId="2" applyAlignment="1" pivotButton="0" quotePrefix="0" xfId="0">
      <alignment vertical="center"/>
    </xf>
    <xf numFmtId="165" fontId="13" fillId="7" borderId="2" applyAlignment="1" pivotButton="0" quotePrefix="0" xfId="1">
      <alignment horizontal="right" vertical="center"/>
    </xf>
    <xf numFmtId="4" fontId="11" fillId="5" borderId="2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165" fontId="11" fillId="5" borderId="2" applyAlignment="1" pivotButton="0" quotePrefix="0" xfId="1">
      <alignment horizontal="right" vertical="center"/>
    </xf>
    <xf numFmtId="3" fontId="4" fillId="4" borderId="2" applyAlignment="1" pivotButton="0" quotePrefix="0" xfId="0">
      <alignment horizontal="center" vertical="center"/>
    </xf>
    <xf numFmtId="14" fontId="5" fillId="4" borderId="2" applyAlignment="1" pivotButton="0" quotePrefix="0" xfId="0">
      <alignment horizontal="center" vertical="center"/>
    </xf>
    <xf numFmtId="165" fontId="4" fillId="4" borderId="2" applyAlignment="1" pivotButton="0" quotePrefix="0" xfId="1">
      <alignment horizontal="center" vertical="center"/>
    </xf>
    <xf numFmtId="1" fontId="4" fillId="4" borderId="2" applyAlignment="1" pivotButton="0" quotePrefix="0" xfId="0">
      <alignment horizontal="center" vertical="center"/>
    </xf>
    <xf numFmtId="165" fontId="3" fillId="2" borderId="2" applyAlignment="1" pivotButton="0" quotePrefix="0" xfId="1">
      <alignment horizontal="right" vertical="center"/>
    </xf>
    <xf numFmtId="165" fontId="3" fillId="0" borderId="2" applyAlignment="1" pivotButton="0" quotePrefix="0" xfId="1">
      <alignment horizontal="right" vertical="center"/>
    </xf>
    <xf numFmtId="0" fontId="6" fillId="0" borderId="2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65" fontId="4" fillId="4" borderId="2" applyAlignment="1" pivotButton="0" quotePrefix="0" xfId="1">
      <alignment horizontal="center" vertical="top"/>
    </xf>
    <xf numFmtId="0" fontId="14" fillId="9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3" fontId="16" fillId="3" borderId="2" applyAlignment="1" pivotButton="0" quotePrefix="0" xfId="0">
      <alignment horizontal="center" vertical="center"/>
    </xf>
    <xf numFmtId="3" fontId="16" fillId="4" borderId="2" applyAlignment="1" pivotButton="0" quotePrefix="0" xfId="0">
      <alignment horizontal="center" vertical="center"/>
    </xf>
    <xf numFmtId="3" fontId="16" fillId="7" borderId="2" applyAlignment="1" pivotButton="0" quotePrefix="0" xfId="0">
      <alignment horizontal="center" vertical="center"/>
    </xf>
    <xf numFmtId="3" fontId="16" fillId="5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3" fontId="16" fillId="10" borderId="2" applyAlignment="1" pivotButton="0" quotePrefix="0" xfId="0">
      <alignment horizontal="center" vertical="center"/>
    </xf>
    <xf numFmtId="4" fontId="11" fillId="10" borderId="2" applyAlignment="1" pivotButton="0" quotePrefix="0" xfId="0">
      <alignment horizontal="right" vertical="center"/>
    </xf>
    <xf numFmtId="164" fontId="12" fillId="10" borderId="2" applyAlignment="1" pivotButton="0" quotePrefix="0" xfId="0">
      <alignment horizontal="right" vertical="center"/>
    </xf>
    <xf numFmtId="0" fontId="10" fillId="11" borderId="2" applyAlignment="1" pivotButton="0" quotePrefix="0" xfId="0">
      <alignment vertical="center"/>
    </xf>
    <xf numFmtId="165" fontId="11" fillId="10" borderId="2" applyAlignment="1" pivotButton="0" quotePrefix="0" xfId="1">
      <alignment horizontal="right" vertical="center"/>
    </xf>
    <xf numFmtId="0" fontId="17" fillId="3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6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23" fillId="0" borderId="2" pivotButton="0" quotePrefix="0" xfId="0"/>
    <xf numFmtId="0" fontId="21" fillId="12" borderId="2" applyAlignment="1" pivotButton="0" quotePrefix="0" xfId="0">
      <alignment horizontal="center" vertical="center" wrapText="1"/>
    </xf>
    <xf numFmtId="0" fontId="22" fillId="12" borderId="2" applyAlignment="1" pivotButton="0" quotePrefix="0" xfId="0">
      <alignment horizontal="center" vertical="center" wrapText="1"/>
    </xf>
    <xf numFmtId="164" fontId="21" fillId="12" borderId="2" applyAlignment="1" pivotButton="0" quotePrefix="0" xfId="0">
      <alignment horizontal="center" vertical="center" wrapText="1"/>
    </xf>
    <xf numFmtId="165" fontId="23" fillId="13" borderId="2" applyAlignment="1" pivotButton="0" quotePrefix="0" xfId="1">
      <alignment horizontal="center" vertical="center" wrapText="1"/>
    </xf>
    <xf numFmtId="0" fontId="24" fillId="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left" vertical="center"/>
    </xf>
    <xf numFmtId="3" fontId="16" fillId="15" borderId="2" applyAlignment="1" pivotButton="0" quotePrefix="0" xfId="0">
      <alignment horizontal="center" vertical="center"/>
    </xf>
    <xf numFmtId="3" fontId="4" fillId="15" borderId="2" applyAlignment="1" pivotButton="0" quotePrefix="0" xfId="0">
      <alignment horizontal="center" vertical="center"/>
    </xf>
    <xf numFmtId="14" fontId="5" fillId="15" borderId="2" applyAlignment="1" pivotButton="0" quotePrefix="0" xfId="0">
      <alignment horizontal="center" vertical="center"/>
    </xf>
    <xf numFmtId="165" fontId="4" fillId="15" borderId="2" applyAlignment="1" pivotButton="0" quotePrefix="0" xfId="1">
      <alignment horizontal="center" vertical="center"/>
    </xf>
    <xf numFmtId="1" fontId="4" fillId="15" borderId="2" applyAlignment="1" pivotButton="0" quotePrefix="0" xfId="0">
      <alignment horizontal="center" vertical="center"/>
    </xf>
    <xf numFmtId="165" fontId="3" fillId="17" borderId="2" applyAlignment="1" pivotButton="0" quotePrefix="0" xfId="1">
      <alignment horizontal="right" vertical="center"/>
    </xf>
    <xf numFmtId="165" fontId="3" fillId="16" borderId="2" applyAlignment="1" pivotButton="0" quotePrefix="0" xfId="1">
      <alignment horizontal="right" vertical="center"/>
    </xf>
    <xf numFmtId="0" fontId="8" fillId="18" borderId="2" applyAlignment="1" pivotButton="0" quotePrefix="0" xfId="0">
      <alignment horizontal="center" vertical="center" wrapText="1"/>
    </xf>
    <xf numFmtId="0" fontId="17" fillId="18" borderId="2" applyAlignment="1" pivotButton="0" quotePrefix="0" xfId="0">
      <alignment horizontal="left" vertical="center" wrapText="1"/>
    </xf>
    <xf numFmtId="3" fontId="16" fillId="18" borderId="2" applyAlignment="1" pivotButton="0" quotePrefix="0" xfId="0">
      <alignment horizontal="center" vertical="center"/>
    </xf>
    <xf numFmtId="4" fontId="11" fillId="18" borderId="2" applyAlignment="1" pivotButton="0" quotePrefix="0" xfId="0">
      <alignment horizontal="right" vertical="center"/>
    </xf>
    <xf numFmtId="164" fontId="12" fillId="18" borderId="2" applyAlignment="1" pivotButton="0" quotePrefix="0" xfId="0">
      <alignment horizontal="right" vertical="center"/>
    </xf>
    <xf numFmtId="165" fontId="11" fillId="18" borderId="2" applyAlignment="1" pivotButton="0" quotePrefix="0" xfId="1">
      <alignment horizontal="right" vertical="center"/>
    </xf>
    <xf numFmtId="49" fontId="4" fillId="4" borderId="2" applyAlignment="1" pivotButton="0" quotePrefix="0" xfId="1">
      <alignment horizontal="center" vertical="center"/>
    </xf>
    <xf numFmtId="0" fontId="8" fillId="19" borderId="2" applyAlignment="1" pivotButton="0" quotePrefix="0" xfId="0">
      <alignment horizontal="center" vertical="center" wrapText="1"/>
    </xf>
    <xf numFmtId="0" fontId="17" fillId="19" borderId="2" applyAlignment="1" pivotButton="0" quotePrefix="0" xfId="0">
      <alignment horizontal="left" vertical="center" wrapText="1"/>
    </xf>
    <xf numFmtId="3" fontId="16" fillId="19" borderId="2" applyAlignment="1" pivotButton="0" quotePrefix="0" xfId="0">
      <alignment horizontal="center" vertical="center"/>
    </xf>
    <xf numFmtId="4" fontId="11" fillId="19" borderId="2" applyAlignment="1" pivotButton="0" quotePrefix="0" xfId="0">
      <alignment horizontal="right" vertical="center"/>
    </xf>
    <xf numFmtId="164" fontId="12" fillId="19" borderId="2" applyAlignment="1" pivotButton="0" quotePrefix="0" xfId="0">
      <alignment horizontal="right" vertical="center"/>
    </xf>
    <xf numFmtId="0" fontId="10" fillId="20" borderId="2" applyAlignment="1" pivotButton="0" quotePrefix="0" xfId="0">
      <alignment vertical="center"/>
    </xf>
    <xf numFmtId="165" fontId="13" fillId="19" borderId="2" applyAlignment="1" pivotButton="0" quotePrefix="0" xfId="1">
      <alignment horizontal="right" vertical="center"/>
    </xf>
    <xf numFmtId="0" fontId="6" fillId="21" borderId="2" applyAlignment="1" pivotButton="0" quotePrefix="0" xfId="0">
      <alignment vertical="center"/>
    </xf>
    <xf numFmtId="0" fontId="8" fillId="22" borderId="2" applyAlignment="1" pivotButton="0" quotePrefix="0" xfId="0">
      <alignment horizontal="center" vertical="center" wrapText="1"/>
    </xf>
    <xf numFmtId="0" fontId="17" fillId="23" borderId="2" applyAlignment="1" pivotButton="0" quotePrefix="0" xfId="0">
      <alignment horizontal="left" vertical="center"/>
    </xf>
    <xf numFmtId="3" fontId="16" fillId="23" borderId="2" applyAlignment="1" pivotButton="0" quotePrefix="0" xfId="0">
      <alignment horizontal="center" vertical="center"/>
    </xf>
    <xf numFmtId="3" fontId="4" fillId="23" borderId="2" applyAlignment="1" pivotButton="0" quotePrefix="0" xfId="0">
      <alignment horizontal="center" vertical="center"/>
    </xf>
    <xf numFmtId="14" fontId="5" fillId="23" borderId="2" applyAlignment="1" pivotButton="0" quotePrefix="0" xfId="0">
      <alignment horizontal="center" vertical="center"/>
    </xf>
    <xf numFmtId="165" fontId="4" fillId="23" borderId="2" applyAlignment="1" pivotButton="0" quotePrefix="0" xfId="1">
      <alignment horizontal="center" vertical="center"/>
    </xf>
    <xf numFmtId="1" fontId="4" fillId="23" borderId="2" applyAlignment="1" pivotButton="0" quotePrefix="0" xfId="0">
      <alignment horizontal="center" vertical="center"/>
    </xf>
    <xf numFmtId="165" fontId="3" fillId="24" borderId="2" applyAlignment="1" pivotButton="0" quotePrefix="0" xfId="1">
      <alignment horizontal="right" vertical="center"/>
    </xf>
    <xf numFmtId="165" fontId="3" fillId="25" borderId="2" applyAlignment="1" pivotButton="0" quotePrefix="0" xfId="1">
      <alignment horizontal="right" vertical="center"/>
    </xf>
    <xf numFmtId="0" fontId="8" fillId="26" borderId="2" applyAlignment="1" pivotButton="0" quotePrefix="0" xfId="0">
      <alignment horizontal="center" vertical="center" wrapText="1"/>
    </xf>
    <xf numFmtId="0" fontId="17" fillId="27" borderId="2" applyAlignment="1" pivotButton="0" quotePrefix="0" xfId="0">
      <alignment horizontal="left" vertical="center"/>
    </xf>
    <xf numFmtId="3" fontId="16" fillId="27" borderId="2" applyAlignment="1" pivotButton="0" quotePrefix="0" xfId="0">
      <alignment horizontal="center" vertical="center"/>
    </xf>
    <xf numFmtId="3" fontId="4" fillId="27" borderId="2" applyAlignment="1" pivotButton="0" quotePrefix="0" xfId="0">
      <alignment horizontal="center" vertical="center"/>
    </xf>
    <xf numFmtId="14" fontId="5" fillId="27" borderId="2" applyAlignment="1" pivotButton="0" quotePrefix="0" xfId="0">
      <alignment horizontal="center" vertical="center"/>
    </xf>
    <xf numFmtId="165" fontId="4" fillId="27" borderId="2" applyAlignment="1" pivotButton="0" quotePrefix="0" xfId="1">
      <alignment horizontal="center" vertical="center"/>
    </xf>
    <xf numFmtId="1" fontId="4" fillId="27" borderId="2" applyAlignment="1" pivotButton="0" quotePrefix="0" xfId="0">
      <alignment horizontal="center" vertical="center"/>
    </xf>
    <xf numFmtId="0" fontId="6" fillId="28" borderId="2" applyAlignment="1" pivotButton="0" quotePrefix="0" xfId="0">
      <alignment vertical="center"/>
    </xf>
    <xf numFmtId="165" fontId="3" fillId="29" borderId="2" applyAlignment="1" pivotButton="0" quotePrefix="0" xfId="1">
      <alignment horizontal="right" vertical="center"/>
    </xf>
    <xf numFmtId="165" fontId="3" fillId="28" borderId="2" applyAlignment="1" pivotButton="0" quotePrefix="0" xfId="1">
      <alignment horizontal="right" vertical="center"/>
    </xf>
    <xf numFmtId="165" fontId="3" fillId="30" borderId="2" applyAlignment="1" pivotButton="0" quotePrefix="0" xfId="1">
      <alignment horizontal="right" vertical="center"/>
    </xf>
    <xf numFmtId="165" fontId="3" fillId="31" borderId="2" applyAlignment="1" pivotButton="0" quotePrefix="0" xfId="1">
      <alignment horizontal="right" vertical="center"/>
    </xf>
    <xf numFmtId="0" fontId="8" fillId="32" borderId="2" applyAlignment="1" pivotButton="0" quotePrefix="0" xfId="0">
      <alignment horizontal="center" vertical="center" wrapText="1"/>
    </xf>
    <xf numFmtId="0" fontId="17" fillId="33" borderId="2" applyAlignment="1" pivotButton="0" quotePrefix="0" xfId="0">
      <alignment horizontal="left" vertical="center"/>
    </xf>
    <xf numFmtId="3" fontId="16" fillId="33" borderId="2" applyAlignment="1" pivotButton="0" quotePrefix="0" xfId="0">
      <alignment horizontal="center" vertical="center"/>
    </xf>
    <xf numFmtId="3" fontId="4" fillId="33" borderId="2" applyAlignment="1" pivotButton="0" quotePrefix="0" xfId="0">
      <alignment horizontal="center" vertical="center"/>
    </xf>
    <xf numFmtId="14" fontId="5" fillId="33" borderId="2" applyAlignment="1" pivotButton="0" quotePrefix="0" xfId="0">
      <alignment horizontal="center" vertical="center"/>
    </xf>
    <xf numFmtId="165" fontId="4" fillId="33" borderId="2" applyAlignment="1" pivotButton="0" quotePrefix="0" xfId="1">
      <alignment horizontal="center" vertical="center"/>
    </xf>
    <xf numFmtId="1" fontId="4" fillId="33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5" fontId="1" fillId="0" borderId="3" applyAlignment="1" pivotButton="0" quotePrefix="0" xfId="1">
      <alignment horizontal="center"/>
    </xf>
    <xf numFmtId="0" fontId="17" fillId="34" borderId="2" applyAlignment="1" pivotButton="0" quotePrefix="0" xfId="0">
      <alignment horizontal="left" vertical="center" wrapText="1"/>
    </xf>
    <xf numFmtId="0" fontId="17" fillId="34" borderId="2" applyAlignment="1" pivotButton="0" quotePrefix="0" xfId="0">
      <alignment horizontal="left" vertical="center"/>
    </xf>
    <xf numFmtId="165" fontId="1" fillId="0" borderId="0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165" fontId="1" fillId="0" borderId="3" applyAlignment="1" pivotButton="0" quotePrefix="0" xfId="1">
      <alignment horizontal="center"/>
    </xf>
    <xf numFmtId="0" fontId="0" fillId="0" borderId="3" pivotButton="0" quotePrefix="0" xfId="0"/>
    <xf numFmtId="165" fontId="23" fillId="13" borderId="2" applyAlignment="1" pivotButton="0" quotePrefix="0" xfId="1">
      <alignment horizontal="center" vertical="center" wrapText="1"/>
    </xf>
    <xf numFmtId="165" fontId="13" fillId="3" borderId="2" applyAlignment="1" pivotButton="0" quotePrefix="0" xfId="1">
      <alignment horizontal="right" vertical="center"/>
    </xf>
    <xf numFmtId="0" fontId="25" fillId="4" borderId="2" applyAlignment="1" pivotButton="0" quotePrefix="0" xfId="0">
      <alignment horizontal="left" vertical="center" wrapText="1"/>
    </xf>
    <xf numFmtId="165" fontId="4" fillId="4" borderId="2" applyAlignment="1" pivotButton="0" quotePrefix="0" xfId="1">
      <alignment horizontal="center" vertical="center"/>
    </xf>
    <xf numFmtId="165" fontId="3" fillId="2" borderId="2" applyAlignment="1" pivotButton="0" quotePrefix="0" xfId="1">
      <alignment horizontal="right" vertical="center"/>
    </xf>
    <xf numFmtId="165" fontId="3" fillId="0" borderId="2" applyAlignment="1" pivotButton="0" quotePrefix="0" xfId="1">
      <alignment horizontal="right" vertical="center"/>
    </xf>
    <xf numFmtId="0" fontId="25" fillId="34" borderId="2" applyAlignment="1" pivotButton="0" quotePrefix="0" xfId="0">
      <alignment horizontal="left" vertical="center" wrapText="1"/>
    </xf>
    <xf numFmtId="165" fontId="4" fillId="4" borderId="2" applyAlignment="1" pivotButton="0" quotePrefix="0" xfId="1">
      <alignment horizontal="center" vertical="top"/>
    </xf>
    <xf numFmtId="0" fontId="25" fillId="4" borderId="2" applyAlignment="1" pivotButton="0" quotePrefix="0" xfId="0">
      <alignment horizontal="left" vertical="center"/>
    </xf>
    <xf numFmtId="0" fontId="25" fillId="34" borderId="2" applyAlignment="1" pivotButton="0" quotePrefix="0" xfId="0">
      <alignment horizontal="left" vertical="center"/>
    </xf>
    <xf numFmtId="0" fontId="25" fillId="6" borderId="2" applyAlignment="1" pivotButton="0" quotePrefix="0" xfId="0">
      <alignment horizontal="left" vertical="center"/>
    </xf>
    <xf numFmtId="165" fontId="11" fillId="10" borderId="2" applyAlignment="1" pivotButton="0" quotePrefix="0" xfId="1">
      <alignment horizontal="right" vertical="center"/>
    </xf>
    <xf numFmtId="165" fontId="11" fillId="18" borderId="2" applyAlignment="1" pivotButton="0" quotePrefix="0" xfId="1">
      <alignment horizontal="right" vertical="center"/>
    </xf>
    <xf numFmtId="165" fontId="11" fillId="5" borderId="2" applyAlignment="1" pivotButton="0" quotePrefix="0" xfId="1">
      <alignment horizontal="right" vertical="center"/>
    </xf>
    <xf numFmtId="165" fontId="4" fillId="27" borderId="2" applyAlignment="1" pivotButton="0" quotePrefix="0" xfId="1">
      <alignment horizontal="center" vertical="center"/>
    </xf>
    <xf numFmtId="165" fontId="3" fillId="29" borderId="2" applyAlignment="1" pivotButton="0" quotePrefix="0" xfId="1">
      <alignment horizontal="right" vertical="center"/>
    </xf>
    <xf numFmtId="165" fontId="3" fillId="28" borderId="2" applyAlignment="1" pivotButton="0" quotePrefix="0" xfId="1">
      <alignment horizontal="right" vertical="center"/>
    </xf>
    <xf numFmtId="165" fontId="4" fillId="15" borderId="2" applyAlignment="1" pivotButton="0" quotePrefix="0" xfId="1">
      <alignment horizontal="center" vertical="center"/>
    </xf>
    <xf numFmtId="165" fontId="3" fillId="17" borderId="2" applyAlignment="1" pivotButton="0" quotePrefix="0" xfId="1">
      <alignment horizontal="right" vertical="center"/>
    </xf>
    <xf numFmtId="165" fontId="3" fillId="16" borderId="2" applyAlignment="1" pivotButton="0" quotePrefix="0" xfId="1">
      <alignment horizontal="right" vertical="center"/>
    </xf>
    <xf numFmtId="165" fontId="4" fillId="23" borderId="2" applyAlignment="1" pivotButton="0" quotePrefix="0" xfId="1">
      <alignment horizontal="center" vertical="center"/>
    </xf>
    <xf numFmtId="165" fontId="3" fillId="24" borderId="2" applyAlignment="1" pivotButton="0" quotePrefix="0" xfId="1">
      <alignment horizontal="right" vertical="center"/>
    </xf>
    <xf numFmtId="165" fontId="3" fillId="25" borderId="2" applyAlignment="1" pivotButton="0" quotePrefix="0" xfId="1">
      <alignment horizontal="right" vertical="center"/>
    </xf>
    <xf numFmtId="165" fontId="4" fillId="33" borderId="2" applyAlignment="1" pivotButton="0" quotePrefix="0" xfId="1">
      <alignment horizontal="center" vertical="center"/>
    </xf>
    <xf numFmtId="165" fontId="3" fillId="30" borderId="2" applyAlignment="1" pivotButton="0" quotePrefix="0" xfId="1">
      <alignment horizontal="right" vertical="center"/>
    </xf>
    <xf numFmtId="165" fontId="3" fillId="31" borderId="2" applyAlignment="1" pivotButton="0" quotePrefix="0" xfId="1">
      <alignment horizontal="right" vertical="center"/>
    </xf>
    <xf numFmtId="165" fontId="13" fillId="7" borderId="2" applyAlignment="1" pivotButton="0" quotePrefix="0" xfId="1">
      <alignment horizontal="right" vertical="center"/>
    </xf>
    <xf numFmtId="165" fontId="13" fillId="19" borderId="2" applyAlignment="1" pivotButton="0" quotePrefix="0" xfId="1">
      <alignment horizontal="right" vertical="center"/>
    </xf>
    <xf numFmtId="165" fontId="2" fillId="0" borderId="0" applyAlignment="1" pivotButton="0" quotePrefix="0" xfId="1">
      <alignment horizontal="center" vertical="center"/>
    </xf>
    <xf numFmtId="165" fontId="2" fillId="0" borderId="2" applyAlignment="1" pivotButton="0" quotePrefix="0" xfId="0">
      <alignment horizontal="center" vertical="center"/>
    </xf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8EB4E3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252539</colOff>
      <row>0</row>
      <rowOff>95251</rowOff>
    </from>
    <to>
      <col>12</col>
      <colOff>621256</colOff>
      <row>0</row>
      <rowOff>528205</rowOff>
    </to>
    <pic>
      <nvPicPr>
        <cNvPr id="2" name="Picture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804016" y="95251"/>
          <a:ext cx="1018149" cy="43295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yd-catalog.uz/#/p/now-vitamin-a-10000iu-100-sgels" TargetMode="External" Id="rId1" /><Relationship Type="http://schemas.openxmlformats.org/officeDocument/2006/relationships/hyperlink" Target="https://yyd-catalog.uz/#/p/now-vitamin-a-25000-100-sgels" TargetMode="External" Id="rId2" /><Relationship Type="http://schemas.openxmlformats.org/officeDocument/2006/relationships/hyperlink" Target="https://yyd-catalog.uz/#/p/now-biotin-5000-60-vcaps" TargetMode="External" Id="rId3" /><Relationship Type="http://schemas.openxmlformats.org/officeDocument/2006/relationships/hyperlink" Target="https://yyd-catalog.uz/#/p/now-biotin-5000-60-vcaps" TargetMode="External" Id="rId4" /><Relationship Type="http://schemas.openxmlformats.org/officeDocument/2006/relationships/hyperlink" Target="https://yyd-catalog.uz/#/p/now-biotin-10000mcg-120-vcaps" TargetMode="External" Id="rId5" /><Relationship Type="http://schemas.openxmlformats.org/officeDocument/2006/relationships/hyperlink" Target="https://yyd-catalog.uz/#/p/now-astaxanthin-4mg-90-sgels" TargetMode="External" Id="rId6" /><Relationship Type="http://schemas.openxmlformats.org/officeDocument/2006/relationships/hyperlink" Target="https://yyd-catalog.uz/#/p/now-omega-3-1000mg" TargetMode="External" Id="rId7" /><Relationship Type="http://schemas.openxmlformats.org/officeDocument/2006/relationships/hyperlink" Target="https://yyd-catalog.uz/#/p/now-omega-3-1000mg" TargetMode="External" Id="rId8" /><Relationship Type="http://schemas.openxmlformats.org/officeDocument/2006/relationships/hyperlink" Target="https://yyd-catalog.uz/#/p/now-omega-3-1000mg" TargetMode="External" Id="rId9" /><Relationship Type="http://schemas.openxmlformats.org/officeDocument/2006/relationships/hyperlink" Target="https://yyd-catalog.uz/#/p/now-omega-3-1000mg" TargetMode="External" Id="rId10" /><Relationship Type="http://schemas.openxmlformats.org/officeDocument/2006/relationships/hyperlink" Target="https://yyd-catalog.uz/#/p/now-omega-3-6-9-1000mg" TargetMode="External" Id="rId11" /><Relationship Type="http://schemas.openxmlformats.org/officeDocument/2006/relationships/hyperlink" Target="https://yyd-catalog.uz/#/p/now-ultra-omega-3-90-sgels" TargetMode="External" Id="rId12" /><Relationship Type="http://schemas.openxmlformats.org/officeDocument/2006/relationships/hyperlink" Target="https://yyd-catalog.uz/#/p/now-lionsmane-5000mg-60" TargetMode="External" Id="rId13" /><Relationship Type="http://schemas.openxmlformats.org/officeDocument/2006/relationships/hyperlink" Target="https://yyd-catalog.uz/#/p/now-clinical-cardio-90-caps" TargetMode="External" Id="rId14" /><Relationship Type="http://schemas.openxmlformats.org/officeDocument/2006/relationships/hyperlink" Target="https://yyd-catalog.uz/#/p/now-tribulus-90-vcaps" TargetMode="External" Id="rId15" /><Relationship Type="http://schemas.openxmlformats.org/officeDocument/2006/relationships/hyperlink" Target="https://yyd-catalog.uz/#/p/now-magnesium-glycinate-180-tabs" TargetMode="External" Id="rId16" /><Relationship Type="http://schemas.openxmlformats.org/officeDocument/2006/relationships/hyperlink" Target="https://yyd-catalog.uz/#/p/now-magnesium-caps-400mg-180" TargetMode="External" Id="rId17" /><Relationship Type="http://schemas.openxmlformats.org/officeDocument/2006/relationships/hyperlink" Target="https://yyd-catalog.uz/#/p/now-magnesium-malate-180-vcaps" TargetMode="External" Id="rId18" /><Relationship Type="http://schemas.openxmlformats.org/officeDocument/2006/relationships/hyperlink" Target="https://yyd-catalog.uz/#/p/now-magnesium-citrate-120-vcaps" TargetMode="External" Id="rId19" /><Relationship Type="http://schemas.openxmlformats.org/officeDocument/2006/relationships/hyperlink" Target="https://yyd-catalog.uz/#/p/now-magnesium-citrate-120-vcaps" TargetMode="External" Id="rId20" /><Relationship Type="http://schemas.openxmlformats.org/officeDocument/2006/relationships/hyperlink" Target="https://yyd-catalog.uz/#/p/now-calcium-magnesium-500-250" TargetMode="External" Id="rId21" /><Relationship Type="http://schemas.openxmlformats.org/officeDocument/2006/relationships/hyperlink" Target="https://yyd-catalog.uz/#/p/now-calcium-citrate-w-min-100-tabs" TargetMode="External" Id="rId22" /><Relationship Type="http://schemas.openxmlformats.org/officeDocument/2006/relationships/hyperlink" Target="https://yyd-catalog.uz/#/p/now-betaine-hcl-648mg-120" TargetMode="External" Id="rId23" /><Relationship Type="http://schemas.openxmlformats.org/officeDocument/2006/relationships/hyperlink" Target="https://yyd-catalog.uz/#/p/now-garcinia-1000mg-120-tabs" TargetMode="External" Id="rId24" /><Relationship Type="http://schemas.openxmlformats.org/officeDocument/2006/relationships/hyperlink" Target="https://yyd-catalog.uz/#/p/now-mega-d3-mk7-5000-180" TargetMode="External" Id="rId25" /><Relationship Type="http://schemas.openxmlformats.org/officeDocument/2006/relationships/hyperlink" Target="https://yyd-catalog.uz/#/p/now-vitamin-d3-k2-1000-45" TargetMode="External" Id="rId26" /><Relationship Type="http://schemas.openxmlformats.org/officeDocument/2006/relationships/hyperlink" Target="https://yyd-catalog.uz/#/p/now-vitamin-d3-2000iu-30-sgels" TargetMode="External" Id="rId27" /><Relationship Type="http://schemas.openxmlformats.org/officeDocument/2006/relationships/hyperlink" Target="https://yyd-catalog.uz/#/p/now-vitamin-d3-2000iu-30-sgels" TargetMode="External" Id="rId28" /><Relationship Type="http://schemas.openxmlformats.org/officeDocument/2006/relationships/hyperlink" Target="https://yyd-catalog.uz/#/p/now-vitamin-d3-2000iu-30-sgels" TargetMode="External" Id="rId29" /><Relationship Type="http://schemas.openxmlformats.org/officeDocument/2006/relationships/hyperlink" Target="https://yyd-catalog.uz/#/p/now-vitamin-d3-5000iu-120-sgels" TargetMode="External" Id="rId30" /><Relationship Type="http://schemas.openxmlformats.org/officeDocument/2006/relationships/hyperlink" Target="https://yyd-catalog.uz/#/p/now-vitamin-d3-5000iu-120-sgels" TargetMode="External" Id="rId31" /><Relationship Type="http://schemas.openxmlformats.org/officeDocument/2006/relationships/hyperlink" Target="https://yyd-catalog.uz/#/p/now-vitamin-d3-5000iu-120-sgels" TargetMode="External" Id="rId32" /><Relationship Type="http://schemas.openxmlformats.org/officeDocument/2006/relationships/hyperlink" Target="https://yyd-catalog.uz/#/p/now-vitamin-d3-10000iu-120-sgels" TargetMode="External" Id="rId33" /><Relationship Type="http://schemas.openxmlformats.org/officeDocument/2006/relationships/hyperlink" Target="https://yyd-catalog.uz/#/p/now-vitamin-d3-10000iu-120-sgels" TargetMode="External" Id="rId34" /><Relationship Type="http://schemas.openxmlformats.org/officeDocument/2006/relationships/hyperlink" Target="https://yyd-catalog.uz/#/p/now-liquid-vitamin-d3-59ml" TargetMode="External" Id="rId35" /><Relationship Type="http://schemas.openxmlformats.org/officeDocument/2006/relationships/hyperlink" Target="https://yyd-catalog.uz/#/p/now-iron-36mg-ferrochel-90" TargetMode="External" Id="rId36" /><Relationship Type="http://schemas.openxmlformats.org/officeDocument/2006/relationships/hyperlink" Target="https://yyd-catalog.uz/#/p/now-inositol-500mg-100-vcaps" TargetMode="External" Id="rId37" /><Relationship Type="http://schemas.openxmlformats.org/officeDocument/2006/relationships/hyperlink" Target="https://yyd-catalog.uz/#/p/now-choline-inositol-100-vcaps" TargetMode="External" Id="rId38" /><Relationship Type="http://schemas.openxmlformats.org/officeDocument/2006/relationships/hyperlink" Target="https://yyd-catalog.uz/#/p/now-selenium-200mcg-90-vcaps" TargetMode="External" Id="rId39" /><Relationship Type="http://schemas.openxmlformats.org/officeDocument/2006/relationships/hyperlink" Target="https://yyd-catalog.uz/#/p/now-selenium-200mcg-90-vcaps" TargetMode="External" Id="rId40" /><Relationship Type="http://schemas.openxmlformats.org/officeDocument/2006/relationships/hyperlink" Target="https://yyd-catalog.uz/#/p/now-spirulina-500mg-100-tabs" TargetMode="External" Id="rId41" /><Relationship Type="http://schemas.openxmlformats.org/officeDocument/2006/relationships/hyperlink" Target="https://yyd-catalog.uz/#/p/now-lecithin-1200mg-100-sgels" TargetMode="External" Id="rId42" /><Relationship Type="http://schemas.openxmlformats.org/officeDocument/2006/relationships/hyperlink" Target="https://yyd-catalog.uz/#/p/now-sunflower-lecithin-powder-454g" TargetMode="External" Id="rId43" /><Relationship Type="http://schemas.openxmlformats.org/officeDocument/2006/relationships/hyperlink" Target="https://yyd-catalog.uz/#/p/now-zinc-gluconate-50mg-100-tabs" TargetMode="External" Id="rId44" /><Relationship Type="http://schemas.openxmlformats.org/officeDocument/2006/relationships/hyperlink" Target="https://yyd-catalog.uz/#/p/now-zinc-gluconate-50mg-100-tabs" TargetMode="External" Id="rId45" /><Relationship Type="http://schemas.openxmlformats.org/officeDocument/2006/relationships/hyperlink" Target="https://yyd-catalog.uz/#/p/now-zinc-picolinate-50mg-120" TargetMode="External" Id="rId46" /><Relationship Type="http://schemas.openxmlformats.org/officeDocument/2006/relationships/hyperlink" Target="https://yyd-catalog.uz/#/p/now-zinc-picolinate-50mg-120" TargetMode="External" Id="rId47" /><Relationship Type="http://schemas.openxmlformats.org/officeDocument/2006/relationships/hyperlink" Target="https://yyd-catalog.uz/#/p/now-propolis-1500-300mg-100-caps" TargetMode="External" Id="rId48" /><Relationship Type="http://schemas.openxmlformats.org/officeDocument/2006/relationships/hyperlink" Target="https://yyd-catalog.uz/#/p/now-melatonin-3mg-180-vcaps" TargetMode="External" Id="rId49" /><Relationship Type="http://schemas.openxmlformats.org/officeDocument/2006/relationships/hyperlink" Target="https://yyd-catalog.uz/#/p/now-melatonin-3mg-180-vcaps" TargetMode="External" Id="rId50" /><Relationship Type="http://schemas.openxmlformats.org/officeDocument/2006/relationships/hyperlink" Target="https://yyd-catalog.uz/#/p/now-melatonin-5mg-120-tabs" TargetMode="External" Id="rId51" /><Relationship Type="http://schemas.openxmlformats.org/officeDocument/2006/relationships/hyperlink" Target="https://yyd-catalog.uz/#/p/now-melatonin-5mg-120-tabs" TargetMode="External" Id="rId52" /><Relationship Type="http://schemas.openxmlformats.org/officeDocument/2006/relationships/hyperlink" Target="https://yyd-catalog.uz/#/p/now-methyl-b12-1000mcg-250-loz" TargetMode="External" Id="rId53" /><Relationship Type="http://schemas.openxmlformats.org/officeDocument/2006/relationships/hyperlink" Target="https://yyd-catalog.uz/#/p/now-b-50-caps-100-vcaps" TargetMode="External" Id="rId54" /><Relationship Type="http://schemas.openxmlformats.org/officeDocument/2006/relationships/hyperlink" Target="https://yyd-catalog.uz/#/p/now-c-500-rose-hips-100-tabs" TargetMode="External" Id="rId55" /><Relationship Type="http://schemas.openxmlformats.org/officeDocument/2006/relationships/hyperlink" Target="https://yyd-catalog.uz/#/p/now-c-1000-100-tabs" TargetMode="External" Id="rId56" /><Relationship Type="http://schemas.openxmlformats.org/officeDocument/2006/relationships/hyperlink" Target="https://yyd-catalog.uz/#/p/now-e-200-d-alpha-100-sgels" TargetMode="External" Id="rId57" /><Relationship Type="http://schemas.openxmlformats.org/officeDocument/2006/relationships/hyperlink" Target="https://yyd-catalog.uz/#/p/now-e-400-da-100-sgels" TargetMode="External" Id="rId58" /><Relationship Type="http://schemas.openxmlformats.org/officeDocument/2006/relationships/hyperlink" Target="https://yyd-catalog.uz/#/p/now-glutathione-250mg-60-vcaps" TargetMode="External" Id="rId59" /><Relationship Type="http://schemas.openxmlformats.org/officeDocument/2006/relationships/hyperlink" Target="https://yyd-catalog.uz/#/p/now-glutathione-500mg-30-vcaps" TargetMode="External" Id="rId60" /><Relationship Type="http://schemas.openxmlformats.org/officeDocument/2006/relationships/hyperlink" Target="https://yyd-catalog.uz/#/p/now-probiotic-10-25-billion-50-vcaps" TargetMode="External" Id="rId61" /><Relationship Type="http://schemas.openxmlformats.org/officeDocument/2006/relationships/hyperlink" Target="https://yyd-catalog.uz/#/p/now-l-arginine-500mg-100-vcaps" TargetMode="External" Id="rId62" /><Relationship Type="http://schemas.openxmlformats.org/officeDocument/2006/relationships/hyperlink" Target="https://yyd-catalog.uz/#/p/now-l-arginine-1000mg-60-tabs" TargetMode="External" Id="rId63" /><Relationship Type="http://schemas.openxmlformats.org/officeDocument/2006/relationships/hyperlink" Target="https://yyd-catalog.uz/#/p/now-l-arginine-powder-454g" TargetMode="External" Id="rId64" /><Relationship Type="http://schemas.openxmlformats.org/officeDocument/2006/relationships/hyperlink" Target="https://yyd-catalog.uz/#/p/now-l-cysteine-500mg-100-tabs" TargetMode="External" Id="rId65" /><Relationship Type="http://schemas.openxmlformats.org/officeDocument/2006/relationships/hyperlink" Target="https://yyd-catalog.uz/#/p/now-l-carnitine-tartrate-1000mg" TargetMode="External" Id="rId66" /><Relationship Type="http://schemas.openxmlformats.org/officeDocument/2006/relationships/hyperlink" Target="https://yyd-catalog.uz/#/p/now-taurine-1000mg-100-vcaps" TargetMode="External" Id="rId67" /><Relationship Type="http://schemas.openxmlformats.org/officeDocument/2006/relationships/hyperlink" Target="https://yyd-catalog.uz/#/p/now-chromium-picolinate-200mcg-250" TargetMode="External" Id="rId68" /><Relationship Type="http://schemas.openxmlformats.org/officeDocument/2006/relationships/hyperlink" Target="https://yyd-catalog.uz/#/p/now-chromium-picolinate-200mcg-250" TargetMode="External" Id="rId69" /><Relationship Type="http://schemas.openxmlformats.org/officeDocument/2006/relationships/hyperlink" Target="https://yyd-catalog.uz/#/p/now-milk-thistle-extract-300mg-50" TargetMode="External" Id="rId70" /><Relationship Type="http://schemas.openxmlformats.org/officeDocument/2006/relationships/hyperlink" Target="https://yyd-catalog.uz/#/p/now-silymarin-milk-thistle-turmeric-150mg-60-vcaps" TargetMode="External" Id="rId71" /><Relationship Type="http://schemas.openxmlformats.org/officeDocument/2006/relationships/hyperlink" Target="https://yyd-catalog.uz/#/p/now-collagen-peptides-powder-227g" TargetMode="External" Id="rId72" /><Relationship Type="http://schemas.openxmlformats.org/officeDocument/2006/relationships/hyperlink" Target="https://yyd-catalog.uz/#/p/now-uc-ii-type-2-collagen-40mg" TargetMode="External" Id="rId73" /><Relationship Type="http://schemas.openxmlformats.org/officeDocument/2006/relationships/hyperlink" Target="https://yyd-catalog.uz/#/p/now-uc-ii-type-2-collagen-40mg" TargetMode="External" Id="rId74" /><Relationship Type="http://schemas.openxmlformats.org/officeDocument/2006/relationships/hyperlink" Target="https://yyd-catalog.uz/#/p/now-alpha-lipoic-acid-100mg-60" TargetMode="External" Id="rId75" /><Relationship Type="http://schemas.openxmlformats.org/officeDocument/2006/relationships/hyperlink" Target="https://yyd-catalog.uz/#/p/now-alpha-lipoic-acid-250mg-60" TargetMode="External" Id="rId76" /><Relationship Type="http://schemas.openxmlformats.org/officeDocument/2006/relationships/hyperlink" Target="https://yyd-catalog.uz/#/p/now-alpha-lipoic-acid-600mg-60" TargetMode="External" Id="rId77" /><Relationship Type="http://schemas.openxmlformats.org/officeDocument/2006/relationships/hyperlink" Target="https://yyd-catalog.uz/#/p/now-folic-acid-800mcg-250-tabs" TargetMode="External" Id="rId78" /><Relationship Type="http://schemas.openxmlformats.org/officeDocument/2006/relationships/hyperlink" Target="https://yyd-catalog.uz/#/p/now-methyl-folate-1000mcg-90-tabs" TargetMode="External" Id="rId79" /><Relationship Type="http://schemas.openxmlformats.org/officeDocument/2006/relationships/hyperlink" Target="https://yyd-catalog.uz/#/p/now-5-htp-50mg-vcaps" TargetMode="External" Id="rId80" /><Relationship Type="http://schemas.openxmlformats.org/officeDocument/2006/relationships/hyperlink" Target="https://yyd-catalog.uz/#/p/now-ginkgo-biloba-120mg-50-vcaps" TargetMode="External" Id="rId81" /><Relationship Type="http://schemas.openxmlformats.org/officeDocument/2006/relationships/hyperlink" Target="https://yyd-catalog.uz/#/p/now-berberine-glucose-support-90" TargetMode="External" Id="rId82" /><Relationship Type="http://schemas.openxmlformats.org/officeDocument/2006/relationships/hyperlink" Target="https://yyd-catalog.uz/#/p/now-gaba-500mg-100-vcaps" TargetMode="External" Id="rId83" /><Relationship Type="http://schemas.openxmlformats.org/officeDocument/2006/relationships/hyperlink" Target="https://yyd-catalog.uz/#/p/now-paba-500mg-100-caps" TargetMode="External" Id="rId84" /><Relationship Type="http://schemas.openxmlformats.org/officeDocument/2006/relationships/hyperlink" Target="https://yyd-catalog.uz/#/p/now-kelp-caps-325mcg-250" TargetMode="External" Id="rId85" /><Relationship Type="http://schemas.openxmlformats.org/officeDocument/2006/relationships/hyperlink" Target="https://yyd-catalog.uz/#/p/now-liquid-chlorophyll-mint-473ml" TargetMode="External" Id="rId86" /><Relationship Type="http://schemas.openxmlformats.org/officeDocument/2006/relationships/hyperlink" Target="https://yyd-catalog.uz/#/p/now-kid-vits-berry-lemonade-120" TargetMode="External" Id="rId87" /><Relationship Type="http://schemas.openxmlformats.org/officeDocument/2006/relationships/hyperlink" Target="https://yyd-catalog.uz/#/p/now-kid-cal-chewable-100-loz" TargetMode="External" Id="rId88" /><Relationship Type="http://schemas.openxmlformats.org/officeDocument/2006/relationships/hyperlink" Target="https://yyd-catalog.uz/#/p/now-kids-liquid-echinacea-orange-59ml" TargetMode="External" Id="rId89" /><Relationship Type="http://schemas.openxmlformats.org/officeDocument/2006/relationships/hyperlink" Target="https://yyd-catalog.uz/#/p/now-kids-elderberry-liquid-237ml" TargetMode="External" Id="rId90" /><Relationship Type="http://schemas.openxmlformats.org/officeDocument/2006/relationships/hyperlink" Target="https://yyd-catalog.uz/#/p/now-psyllium-husk-whole-2" TargetMode="External" Id="rId91" /><Relationship Type="http://schemas.openxmlformats.org/officeDocument/2006/relationships/hyperlink" Target="https://yyd-catalog.uz/#/p/now-psyllium-husk-whole" TargetMode="External" Id="rId92" /><Relationship Type="http://schemas.openxmlformats.org/officeDocument/2006/relationships/hyperlink" Target="https://yyd-catalog.uz/#/p/now-essential-oil-rosemary-30ml" TargetMode="External" Id="rId93" /><Relationship Type="http://schemas.openxmlformats.org/officeDocument/2006/relationships/hyperlink" Target="https://yyd-catalog.uz/#/p/now-essential-oil-tea-tree-30ml" TargetMode="External" Id="rId94" /><Relationship Type="http://schemas.openxmlformats.org/officeDocument/2006/relationships/hyperlink" Target="https://yyd-catalog.uz/#/p/now-essential-oil-eucalyptus-30ml" TargetMode="External" Id="rId95" /><Relationship Type="http://schemas.openxmlformats.org/officeDocument/2006/relationships/hyperlink" Target="https://yyd-catalog.uz/#/p/cgn-gold-c-1000mg-60-vcaps" TargetMode="External" Id="rId96" /><Relationship Type="http://schemas.openxmlformats.org/officeDocument/2006/relationships/hyperlink" Target="https://yyd-catalog.uz/#/p/cgn-vitamin-d3-2000iu-90" TargetMode="External" Id="rId97" /><Relationship Type="http://schemas.openxmlformats.org/officeDocument/2006/relationships/hyperlink" Target="https://yyd-catalog.uz/#/p/cgn-vitamin-d3-5000iu-90" TargetMode="External" Id="rId98" /><Relationship Type="http://schemas.openxmlformats.org/officeDocument/2006/relationships/hyperlink" Target="https://yyd-catalog.uz/#/p/cgn-vitamin-d3-babies-liquid-10ml" TargetMode="External" Id="rId99" /><Relationship Type="http://schemas.openxmlformats.org/officeDocument/2006/relationships/hyperlink" Target="https://yyd-catalog.uz/#/p/cgn-lactobif-5-billion-60-vcaps" TargetMode="External" Id="rId100" /><Relationship Type="http://schemas.openxmlformats.org/officeDocument/2006/relationships/hyperlink" Target="https://yyd-catalog.uz/#/p/cgn-lactobif-30-billion-60-vcaps" TargetMode="External" Id="rId101" /><Relationship Type="http://schemas.openxmlformats.org/officeDocument/2006/relationships/hyperlink" Target="https://yyd-catalog.uz/#/p/childlife-liquid-vitamin-c-118ml" TargetMode="External" Id="rId102" /><Relationship Type="http://schemas.openxmlformats.org/officeDocument/2006/relationships/hyperlink" Target="https://yyd-catalog.uz/#/p/cgn-collagenup-464g" TargetMode="External" Id="rId103" /><Relationship Type="http://schemas.openxmlformats.org/officeDocument/2006/relationships/hyperlink" Target="https://yyd-catalog.uz/#/p/np-hema-plex-slow-release-30-tabs" TargetMode="External" Id="rId104" /><Relationship Type="http://schemas.openxmlformats.org/officeDocument/2006/relationships/hyperlink" Target="https://yyd-catalog.uz/#/p/np-hema-plex-iron-fast-acting-60-caps" TargetMode="External" Id="rId105" /><Relationship Type="http://schemas.openxmlformats.org/officeDocument/2006/relationships/hyperlink" Target="https://yyd-catalog.uz/#/p/np-hema-plex-iron-fast-acting-60-caps" TargetMode="External" Id="rId106" /><Relationship Type="http://schemas.openxmlformats.org/officeDocument/2006/relationships/hyperlink" Target="https://yyd-catalog.uz/#/p/np-hema-plex-slow-release-60-tabs" TargetMode="External" Id="rId107" /><Relationship Type="http://schemas.openxmlformats.org/officeDocument/2006/relationships/hyperlink" Target="https://yyd-catalog.uz/#/p/np-hema-plex-iron-chewables-60" TargetMode="External" Id="rId108" /><Relationship Type="http://schemas.openxmlformats.org/officeDocument/2006/relationships/hyperlink" Target="https://yyd-catalog.uz/#/p/np-hema-plex-liquid-iron-250ml" TargetMode="External" Id="rId109" /><Relationship Type="http://schemas.openxmlformats.org/officeDocument/2006/relationships/hyperlink" Target="https://yyd-catalog.uz/#/p/np-collagen-peptides-294g" TargetMode="External" Id="rId110" /><Relationship Type="http://schemas.openxmlformats.org/officeDocument/2006/relationships/hyperlink" Target="https://yyd-catalog.uz/#/p/np-collagen-peptides-vanilla-364g" TargetMode="External" Id="rId111" /><Relationship Type="http://schemas.openxmlformats.org/officeDocument/2006/relationships/hyperlink" Target="https://yyd-catalog.uz/#/p/np-collagen-peptides-chocolate-378g" TargetMode="External" Id="rId112" /><Relationship Type="http://schemas.openxmlformats.org/officeDocument/2006/relationships/hyperlink" Target="https://yyd-catalog.uz/#/p/np-magkidz-magnesium-cherry-90-tabs" TargetMode="External" Id="rId113" /><Relationship Type="http://schemas.openxmlformats.org/officeDocument/2006/relationships/hyperlink" Target="https://yyd-catalog.uz/#/p/np-magkidz-magnesium-cherry-171g" TargetMode="External" Id="rId114" /><Relationship Type="http://schemas.openxmlformats.org/officeDocument/2006/relationships/hyperlink" Target="https://yyd-catalog.uz/#/p/np-animal-parade-gold-60-tabs" TargetMode="External" Id="rId115" /><Relationship Type="http://schemas.openxmlformats.org/officeDocument/2006/relationships/hyperlink" Target="https://yyd-catalog.uz/#/p/np-animal-parade-multivitamin-90-tabs" TargetMode="External" Id="rId116" /><Relationship Type="http://schemas.openxmlformats.org/officeDocument/2006/relationships/hyperlink" Target="https://yyd-catalog.uz/#/p/np-animal-parade-gold-120-tabs" TargetMode="External" Id="rId117" /><Relationship Type="http://schemas.openxmlformats.org/officeDocument/2006/relationships/hyperlink" Target="https://yyd-catalog.uz/#/p/np-animal-parade-multivitamin-180-tabs" TargetMode="External" Id="rId118" /><Relationship Type="http://schemas.openxmlformats.org/officeDocument/2006/relationships/hyperlink" Target="https://yyd-catalog.uz/#/p/np-animal-parade-watermelon-180-tabs" TargetMode="External" Id="rId119" /><Relationship Type="http://schemas.openxmlformats.org/officeDocument/2006/relationships/hyperlink" Target="https://yyd-catalog.uz/#/p/childlife-liquid-vitamin-d3-30ml" TargetMode="External" Id="rId120" /><Relationship Type="http://schemas.openxmlformats.org/officeDocument/2006/relationships/hyperlink" Target="https://yyd-catalog.uz/#/p/childlife-liquid-vitamin-c-118ml" TargetMode="External" Id="rId121" /><Relationship Type="http://schemas.openxmlformats.org/officeDocument/2006/relationships/hyperlink" Target="https://yyd-catalog.uz/#/p/childlife-liquid-zinc-plus-118ml" TargetMode="External" Id="rId122" /><Relationship Type="http://schemas.openxmlformats.org/officeDocument/2006/relationships/hyperlink" Target="https://yyd-catalog.uz/#/p/childlife-liquid-iron-118ml" TargetMode="External" Id="rId123" /><Relationship Type="http://schemas.openxmlformats.org/officeDocument/2006/relationships/hyperlink" Target="https://yyd-catalog.uz/#/p/childlife-liquid-calcium-magnesium-473ml" TargetMode="External" Id="rId124" /><Relationship Type="http://schemas.openxmlformats.org/officeDocument/2006/relationships/hyperlink" Target="https://yyd-catalog.uz/#/p/childlife-liquid-multivitamin-237ml" TargetMode="External" Id="rId125" /><Relationship Type="http://schemas.openxmlformats.org/officeDocument/2006/relationships/hyperlink" Target="https://yyd-catalog.uz/#/p/childlife-liquid-echinacea-30ml" TargetMode="External" Id="rId126" /><Relationship Type="http://schemas.openxmlformats.org/officeDocument/2006/relationships/hyperlink" Target="https://yyd-catalog.uz/#/p/life-extension-two-per-day-60-caps" TargetMode="External" Id="rId127" /><Relationship Type="http://schemas.openxmlformats.org/officeDocument/2006/relationships/hyperlink" Target="https://yyd-catalog.uz/#/p/life-extension-two-per-day-120-caps" TargetMode="External" Id="rId128" /><Relationship Type="http://schemas.openxmlformats.org/officeDocument/2006/relationships/hyperlink" Target="https://yyd-catalog.uz/#/p/life-extension-bioactive-b-complex-60" TargetMode="External" Id="rId129" /><Relationship Type="http://schemas.openxmlformats.org/officeDocument/2006/relationships/hyperlink" Target="https://yyd-catalog.uz/#/p/life-extension-neuro-mag-powder-93g" TargetMode="External" Id="rId130" /><Relationship Type="http://schemas.openxmlformats.org/officeDocument/2006/relationships/hyperlink" Target="https://yyd-catalog.uz/#/p/life-extension-neuro-mag-90-vegcaps" TargetMode="External" Id="rId131" /><Relationship Type="http://schemas.openxmlformats.org/officeDocument/2006/relationships/hyperlink" Target="https://yyd-catalog.uz/#/p/life-extension-inositol-1000mg-360" TargetMode="External" Id="rId132" /><Relationship Type="http://schemas.openxmlformats.org/officeDocument/2006/relationships/hyperlink" Target="https://yyd-catalog.uz/#/p/life-extension-super-selenium-complex-100" TargetMode="External" Id="rId133" /><Relationship Type="http://schemas.openxmlformats.org/officeDocument/2006/relationships/hyperlink" Target="https://yyd-catalog.uz/#/p/natures-answer-liquid-magnesium-480ml" TargetMode="External" Id="rId134" /><Relationship Type="http://schemas.openxmlformats.org/officeDocument/2006/relationships/hyperlink" Target="https://yyd-catalog.uz/#/p/natures-answer-liquid-vitamin-c-240ml" TargetMode="External" Id="rId135" /><Relationship Type="http://schemas.openxmlformats.org/officeDocument/2006/relationships/hyperlink" Target="https://yyd-catalog.uz/#/p/natures-answer-liquid-b-complex-240ml" TargetMode="External" Id="rId136" /><Relationship Type="http://schemas.openxmlformats.org/officeDocument/2006/relationships/hyperlink" Target="https://yyd-catalog.uz/#/p/natures-answer-liquid-chlorophyll-480ml" TargetMode="External" Id="rId137" /><Relationship Type="http://schemas.openxmlformats.org/officeDocument/2006/relationships/hyperlink" Target="https://yyd-catalog.uz/#/p/lifeflo-liquid-iodine-plus-59ml" TargetMode="External" Id="rId138" /><Relationship Type="http://schemas.openxmlformats.org/officeDocument/2006/relationships/hyperlink" Target="https://yyd-catalog.uz/#/p/biomagic-iodine-25ml" TargetMode="External" Id="rId139" /><Relationship Type="http://schemas.openxmlformats.org/officeDocument/2006/relationships/hyperlink" Target="https://yyd-catalog.uz/#/p/biomagic-iodine-selenium-25ml" TargetMode="External" Id="rId140" /><Relationship Type="http://schemas.openxmlformats.org/officeDocument/2006/relationships/hyperlink" Target="https://yyd-catalog.uz/#/p/solaray-vital-extracts-artichoke-600mg" TargetMode="External" Id="rId141" /><Relationship Type="http://schemas.openxmlformats.org/officeDocument/2006/relationships/hyperlink" Target="https://yyd-catalog.uz/#/p/solaray-magnesium-citrate-400mg-180" TargetMode="External" Id="rId142" /><Relationship Type="http://schemas.openxmlformats.org/officeDocument/2006/relationships/hyperlink" Target="https://yyd-catalog.uz/#/p/solaray-magnesium-citrate-400mg-180" TargetMode="External" Id="rId143" /><Relationship Type="http://schemas.openxmlformats.org/officeDocument/2006/relationships/hyperlink" Target="https://yyd-catalog.uz/#/p/solaray-zinc-citrate-50mg-60" TargetMode="External" Id="rId144" /><Relationship Type="http://schemas.openxmlformats.org/officeDocument/2006/relationships/hyperlink" Target="https://yyd-catalog.uz/#/p/solaray-magnesium-glycinate-350mg-120" TargetMode="External" Id="rId145" /><Relationship Type="http://schemas.openxmlformats.org/officeDocument/2006/relationships/hyperlink" Target="https://yyd-catalog.uz/#/p/solaray-magnesium-glycinate-350mg-240" TargetMode="External" Id="rId146" /><Relationship Type="http://schemas.openxmlformats.org/officeDocument/2006/relationships/hyperlink" Target="https://yyd-catalog.uz/#/p/solaray-vitamin-d3-k2-60-vegcaps" TargetMode="External" Id="rId147" /><Relationship Type="http://schemas.openxmlformats.org/officeDocument/2006/relationships/hyperlink" Target="https://yyd-catalog.uz/#/p/solaray-vitamin-d3-k2-120-vegcaps" TargetMode="External" Id="rId148" /><Relationship Type="http://schemas.openxmlformats.org/officeDocument/2006/relationships/hyperlink" Target="https://yyd-catalog.uz/#/p/solaray-selenium-200mcg-90-vegcaps" TargetMode="External" Id="rId149" /><Relationship Type="http://schemas.openxmlformats.org/officeDocument/2006/relationships/hyperlink" Target="https://yyd-catalog.uz/#/p/solaray-l-lysine-monolaurin-60" TargetMode="External" Id="rId150" /><Relationship Type="http://schemas.openxmlformats.org/officeDocument/2006/relationships/hyperlink" Target="https://yyd-catalog.uz/#/p/solaray-chromium-picolinate-200mcg-100" TargetMode="External" Id="rId151" /><Relationship Type="http://schemas.openxmlformats.org/officeDocument/2006/relationships/hyperlink" Target="https://yyd-catalog.uz/#/p/solaray-berberine-curcumin-60-vegcaps" TargetMode="External" Id="rId152" /><Relationship Type="http://schemas.openxmlformats.org/officeDocument/2006/relationships/hyperlink" Target="https://yyd-catalog.uz/#/p/carlson-maximum-omega-2000-30sg" TargetMode="External" Id="rId153" /><Relationship Type="http://schemas.openxmlformats.org/officeDocument/2006/relationships/hyperlink" Target="https://yyd-catalog.uz/#/p/carlson-super-omega-3-gems-1200-100-30sg" TargetMode="External" Id="rId154" /><Relationship Type="http://schemas.openxmlformats.org/officeDocument/2006/relationships/hyperlink" Target="https://yyd-catalog.uz/#/p/carlson-super-omega-3-gems-1200-50sg" TargetMode="External" Id="rId155" /><Relationship Type="http://schemas.openxmlformats.org/officeDocument/2006/relationships/hyperlink" Target="https://yyd-catalog.uz/#/p/carlson-kids-norwegian-fish-oil-lemon-200ml" TargetMode="External" Id="rId156" /><Relationship Type="http://schemas.openxmlformats.org/officeDocument/2006/relationships/hyperlink" Target="https://yyd-catalog.uz/#/p/carlson-magnesium-glycinate-200-90tabs" TargetMode="External" Id="rId157" /><Relationship Type="http://schemas.openxmlformats.org/officeDocument/2006/relationships/hyperlink" Target="https://yyd-catalog.uz/#/p/carlson-magnesium-glycinate-200-180tabs" TargetMode="External" Id="rId158" /><Relationship Type="http://schemas.openxmlformats.org/officeDocument/2006/relationships/hyperlink" Target="https://yyd-catalog.uz/#/p/carlson-magnesium-glycinate-400-120tabs" TargetMode="External" Id="rId159" /><Relationship Type="http://schemas.openxmlformats.org/officeDocument/2006/relationships/hyperlink" Target="https://yyd-catalog.uz/#/p/carlson-vitamin-d3-k2-2000-90mcg-30caps" TargetMode="External" Id="rId160" /><Relationship Type="http://schemas.openxmlformats.org/officeDocument/2006/relationships/hyperlink" Target="https://yyd-catalog.uz/#/p/carlson-baby-super-daily-d3-365drops" TargetMode="External" Id="rId161" /><Relationship Type="http://schemas.openxmlformats.org/officeDocument/2006/relationships/hyperlink" Target="https://yyd-catalog.uz/#/p/carlson-kids-super-daily-d3-k2-360drops" TargetMode="External" Id="rId162" /><Relationship Type="http://schemas.openxmlformats.org/officeDocument/2006/relationships/hyperlink" Target="https://yyd-catalog.uz/#/p/carlson-cod-liver-oil-gems-1000-100sg" TargetMode="External" Id="rId163" /><Relationship Type="http://schemas.openxmlformats.org/officeDocument/2006/relationships/hyperlink" Target="https://yyd-catalog.uz/#/p/carlson-kids-chewable-iron-60" TargetMode="External" Id="rId164" /><Relationship Type="http://schemas.openxmlformats.org/officeDocument/2006/relationships/hyperlink" Target="https://yyd-catalog.uz/#/p/carlson-kids-chewable-dha-60sg" TargetMode="External" Id="rId165" /><Relationship Type="http://schemas.openxmlformats.org/officeDocument/2006/relationships/hyperlink" Target="https://yyd-catalog.uz/#/p/ecovita-biotin-5000mcg-60-caps" TargetMode="External" Id="rId166" /><Relationship Type="http://schemas.openxmlformats.org/officeDocument/2006/relationships/hyperlink" Target="https://yyd-catalog.uz/#/p/ecovita-omega-3-epa540-dha360-30" TargetMode="External" Id="rId167" /><Relationship Type="http://schemas.openxmlformats.org/officeDocument/2006/relationships/hyperlink" Target="https://yyd-catalog.uz/#/p/ecovita-omega-3-epa540-dha360-100" TargetMode="External" Id="rId168" /><Relationship Type="http://schemas.openxmlformats.org/officeDocument/2006/relationships/hyperlink" Target="https://yyd-catalog.uz/#/p/ecovita-lions-mane-mushroom-90-caps" TargetMode="External" Id="rId169" /><Relationship Type="http://schemas.openxmlformats.org/officeDocument/2006/relationships/hyperlink" Target="https://yyd-catalog.uz/#/p/ecovita-coenzyme-q10-100mg-60" TargetMode="External" Id="rId170" /><Relationship Type="http://schemas.openxmlformats.org/officeDocument/2006/relationships/hyperlink" Target="https://yyd-catalog.uz/#/p/ecovita-calcium-zinc-magnesium-d3-b6-100" TargetMode="External" Id="rId171" /><Relationship Type="http://schemas.openxmlformats.org/officeDocument/2006/relationships/hyperlink" Target="https://yyd-catalog.uz/#/p/ecovita-calcium-citrate-210mg-90" TargetMode="External" Id="rId172" /><Relationship Type="http://schemas.openxmlformats.org/officeDocument/2006/relationships/hyperlink" Target="https://yyd-catalog.uz/#/p/ecovita-magnesium-citrate-b6-60" TargetMode="External" Id="rId173" /><Relationship Type="http://schemas.openxmlformats.org/officeDocument/2006/relationships/hyperlink" Target="https://yyd-catalog.uz/#/p/ecovita-vitamin-d3-k2-2000-50-100" TargetMode="External" Id="rId174" /><Relationship Type="http://schemas.openxmlformats.org/officeDocument/2006/relationships/hyperlink" Target="https://yyd-catalog.uz/#/p/ecovita-vitamin-d3-2000me-100" TargetMode="External" Id="rId175" /><Relationship Type="http://schemas.openxmlformats.org/officeDocument/2006/relationships/hyperlink" Target="https://yyd-catalog.uz/#/p/ecovita-vitamin-d3-5000me-100" TargetMode="External" Id="rId176" /><Relationship Type="http://schemas.openxmlformats.org/officeDocument/2006/relationships/hyperlink" Target="https://yyd-catalog.uz/#/p/ecovita-vitamin-d3-10000me-100" TargetMode="External" Id="rId177" /><Relationship Type="http://schemas.openxmlformats.org/officeDocument/2006/relationships/hyperlink" Target="https://yyd-catalog.uz/#/p/ecovita-myo-inositol-500mg-100" TargetMode="External" Id="rId178" /><Relationship Type="http://schemas.openxmlformats.org/officeDocument/2006/relationships/hyperlink" Target="https://yyd-catalog.uz/#/p/ecovita-selenium-100mcg-90" TargetMode="External" Id="rId179" /><Relationship Type="http://schemas.openxmlformats.org/officeDocument/2006/relationships/hyperlink" Target="https://yyd-catalog.uz/#/p/ecovita-sunflower-lecithin-1000mg-100" TargetMode="External" Id="rId180" /><Relationship Type="http://schemas.openxmlformats.org/officeDocument/2006/relationships/hyperlink" Target="https://yyd-catalog.uz/#/p/ecovita-zinc-picolinate-125mg-60" TargetMode="External" Id="rId181" /><Relationship Type="http://schemas.openxmlformats.org/officeDocument/2006/relationships/hyperlink" Target="https://yyd-catalog.uz/#/p/ecovita-vitamin-c-500mg-100" TargetMode="External" Id="rId182" /><Relationship Type="http://schemas.openxmlformats.org/officeDocument/2006/relationships/hyperlink" Target="https://yyd-catalog.uz/#/p/ecovita-type-1-3-collagen-430mg-60" TargetMode="External" Id="rId183" /><Relationship Type="http://schemas.openxmlformats.org/officeDocument/2006/relationships/hyperlink" Target="https://yyd-catalog.uz/#/p/ecovita-marine-collagen-240g" TargetMode="External" Id="rId184" /><Relationship Type="http://schemas.openxmlformats.org/officeDocument/2006/relationships/hyperlink" Target="https://yyd-catalog.uz/#/p/ecovita-men-active-multivitamin-90" TargetMode="External" Id="rId185" /><Relationship Type="http://schemas.openxmlformats.org/officeDocument/2006/relationships/hyperlink" Target="https://yyd-catalog.uz/#/p/ecovita-women-balance-multivitamin-90" TargetMode="External" Id="rId186" /><Relationship Type="http://schemas.openxmlformats.org/officeDocument/2006/relationships/hyperlink" Target="https://yyd-catalog.uz/#/p/ecovita-l-carnitine-850mg-90" TargetMode="External" Id="rId187" /><Relationship Type="http://schemas.openxmlformats.org/officeDocument/2006/relationships/hyperlink" Target="https://yyd-catalog.uz/#/p/ecovita-berberine-500mg-60" TargetMode="External" Id="rId188" /><Relationship Type="http://schemas.openxmlformats.org/officeDocument/2006/relationships/hyperlink" Target="https://yyd-catalog.uz/#/p/ecovita-glucosamine-chondroitin-msm-120" TargetMode="External" Id="rId189" /><Relationship Type="http://schemas.openxmlformats.org/officeDocument/2006/relationships/hyperlink" Target="https://yyd-catalog.uz/#/p/ecovita-b-complex-60-caps" TargetMode="External" Id="rId190" /><Relationship Type="http://schemas.openxmlformats.org/officeDocument/2006/relationships/hyperlink" Target="https://yyd-catalog.uz/#/p/ecovita-iron-chelate-40mg-60" TargetMode="External" Id="rId191" /><Relationship Type="http://schemas.openxmlformats.org/officeDocument/2006/relationships/hyperlink" Target="https://yyd-catalog.uz/#/p/ecovita-folic-acid-400mcg-60" TargetMode="External" Id="rId192" /><Relationship Type="http://schemas.openxmlformats.org/officeDocument/2006/relationships/hyperlink" Target="https://yyd-catalog.uz/#/p/ecovita-chromium-picolinate-200mcg-60" TargetMode="External" Id="rId193" /><Relationship Type="http://schemas.openxmlformats.org/officeDocument/2006/relationships/hyperlink" Target="https://yyd-catalog.uz/#/p/ecovita-liquid-chlorophyll-mint-500ml" TargetMode="External" Id="rId194" /><Relationship Type="http://schemas.openxmlformats.org/officeDocument/2006/relationships/hyperlink" Target="https://yyd-catalog.uz/#/p/vita-garden-biotin-5000mcg-30" TargetMode="External" Id="rId195" /><Relationship Type="http://schemas.openxmlformats.org/officeDocument/2006/relationships/hyperlink" Target="https://yyd-catalog.uz/#/p/vita-garden-omega-3-fish-oil-60" TargetMode="External" Id="rId196" /><Relationship Type="http://schemas.openxmlformats.org/officeDocument/2006/relationships/hyperlink" Target="https://yyd-catalog.uz/#/p/vita-garden-magnesium-b6-60" TargetMode="External" Id="rId197" /><Relationship Type="http://schemas.openxmlformats.org/officeDocument/2006/relationships/hyperlink" Target="https://yyd-catalog.uz/#/p/vita-garden-calcium-citrate-210mg-60" TargetMode="External" Id="rId198" /><Relationship Type="http://schemas.openxmlformats.org/officeDocument/2006/relationships/hyperlink" Target="https://yyd-catalog.uz/#/p/vita-garden-vitamin-d3-2000me-60" TargetMode="External" Id="rId199" /><Relationship Type="http://schemas.openxmlformats.org/officeDocument/2006/relationships/hyperlink" Target="https://yyd-catalog.uz/#/p/vita-garden-myo-inositol-500mg-60" TargetMode="External" Id="rId200" /><Relationship Type="http://schemas.openxmlformats.org/officeDocument/2006/relationships/hyperlink" Target="https://yyd-catalog.uz/#/p/vita-garden-selenium-100mcg-60" TargetMode="External" Id="rId201" /><Relationship Type="http://schemas.openxmlformats.org/officeDocument/2006/relationships/hyperlink" Target="https://yyd-catalog.uz/#/p/vita-garden-zinc-picolinate-125mg-60" TargetMode="External" Id="rId202" /><Relationship Type="http://schemas.openxmlformats.org/officeDocument/2006/relationships/drawing" Target="/xl/drawings/drawing1.xml" Id="rId2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tabSelected="1" zoomScale="91" zoomScaleNormal="91" workbookViewId="0">
      <selection activeCell="C218" sqref="C218"/>
    </sheetView>
  </sheetViews>
  <sheetFormatPr baseColWidth="8" defaultColWidth="10.42578125" defaultRowHeight="13.8"/>
  <cols>
    <col width="6" customWidth="1" style="1" min="1" max="1"/>
    <col width="11.28515625" customWidth="1" style="19" min="2" max="2"/>
    <col width="111.5703125" customWidth="1" style="67" min="3" max="3"/>
    <col width="15.140625" customWidth="1" style="48" min="4" max="4"/>
    <col width="11" customWidth="1" style="2" min="5" max="5"/>
    <col width="14.28515625" customWidth="1" style="3" min="6" max="6"/>
    <col width="23.7109375" customWidth="1" style="3" min="7" max="7"/>
    <col width="27.85546875" customWidth="1" style="3" min="8" max="8"/>
    <col width="23.140625" customWidth="1" style="3" min="9" max="9"/>
    <col width="16.140625" customWidth="1" style="2" min="10" max="10"/>
    <col width="2.7109375" customWidth="1" style="1" min="11" max="11"/>
    <col width="12.140625" customWidth="1" style="130" min="12" max="12"/>
    <col width="19.42578125" customWidth="1" style="2" min="13" max="13"/>
    <col width="54" customWidth="1" style="1" min="14" max="14"/>
    <col width="10.42578125" customWidth="1" style="1" min="15" max="16384"/>
  </cols>
  <sheetData>
    <row r="1" ht="46.8" customHeight="1" s="9">
      <c r="A1" s="126" t="inlineStr">
        <is>
          <t>"YOSHLIK-YU"  Distribution</t>
        </is>
      </c>
      <c r="B1" s="131" t="n"/>
      <c r="C1" s="132" t="n"/>
      <c r="F1" s="47" t="n"/>
      <c r="L1" s="133" t="n"/>
      <c r="M1" s="134" t="n"/>
    </row>
    <row r="2" ht="70.2" customHeight="1" s="9">
      <c r="A2" s="69" t="inlineStr">
        <is>
          <t>№</t>
        </is>
      </c>
      <c r="B2" s="69" t="inlineStr">
        <is>
          <t>Бренд</t>
        </is>
      </c>
      <c r="C2" s="69" t="inlineStr">
        <is>
          <t>Номенклатура</t>
        </is>
      </c>
      <c r="D2" s="70" t="inlineStr">
        <is>
          <t>ЦЕНА с НДС</t>
        </is>
      </c>
      <c r="E2" s="69" t="inlineStr">
        <is>
          <t>Кол-во в кор</t>
        </is>
      </c>
      <c r="F2" s="71" t="inlineStr">
        <is>
          <t>Срок год-ти лет</t>
        </is>
      </c>
      <c r="G2" s="71" t="inlineStr">
        <is>
          <t>Код ТН ВЭД</t>
        </is>
      </c>
      <c r="H2" s="71" t="inlineStr">
        <is>
          <t>Код  ИКПУ</t>
        </is>
      </c>
      <c r="I2" s="71" t="inlineStr">
        <is>
          <t>Штрих-код индивидуальной упаковки</t>
        </is>
      </c>
      <c r="J2" s="69" t="inlineStr">
        <is>
          <t>Комментарий</t>
        </is>
      </c>
      <c r="K2" s="68" t="n"/>
      <c r="L2" s="135" t="inlineStr">
        <is>
          <t>Заказ в шт.</t>
        </is>
      </c>
      <c r="M2" s="69" t="inlineStr">
        <is>
          <t>Сумма</t>
        </is>
      </c>
    </row>
    <row r="3" ht="22.8" customFormat="1" customHeight="1" s="25">
      <c r="A3" s="20" t="n"/>
      <c r="B3" s="16" t="n"/>
      <c r="C3" s="59" t="inlineStr">
        <is>
          <t>Витамины БАД NOW FOODS  (США)</t>
        </is>
      </c>
      <c r="D3" s="49" t="n"/>
      <c r="E3" s="21" t="n"/>
      <c r="F3" s="22" t="n"/>
      <c r="G3" s="22" t="n"/>
      <c r="H3" s="22" t="n"/>
      <c r="I3" s="22" t="n"/>
      <c r="J3" s="21" t="n"/>
      <c r="K3" s="23" t="n"/>
      <c r="L3" s="136" t="n"/>
      <c r="M3" s="136" t="n"/>
    </row>
    <row r="4" ht="15.6" customFormat="1" customHeight="1" s="7">
      <c r="A4" s="5" t="n">
        <v>1</v>
      </c>
      <c r="B4" s="16" t="inlineStr">
        <is>
          <t>N F</t>
        </is>
      </c>
      <c r="C4" s="137" t="inlineStr">
        <is>
          <t>Витамин A 10000 МЕ (7500 мкг) 100 софтгелей</t>
        </is>
      </c>
      <c r="D4" s="50" t="n">
        <v>87000</v>
      </c>
      <c r="E4" s="33" t="n">
        <v>12</v>
      </c>
      <c r="F4" s="34" t="inlineStr">
        <is>
          <t xml:space="preserve">3 года </t>
        </is>
      </c>
      <c r="G4" s="138" t="n">
        <v>2106909803</v>
      </c>
      <c r="H4" s="138" t="n">
        <v>2936001013000000</v>
      </c>
      <c r="I4" s="138" t="n">
        <v>733739003300</v>
      </c>
      <c r="J4" s="36" t="inlineStr">
        <is>
          <t>в наличии</t>
        </is>
      </c>
      <c r="K4" s="6" t="n"/>
      <c r="L4" s="139" t="n"/>
      <c r="M4" s="140">
        <f>L4*D4</f>
        <v/>
      </c>
    </row>
    <row r="5" ht="15.6" customFormat="1" customHeight="1" s="7">
      <c r="A5" s="5" t="n">
        <v>2</v>
      </c>
      <c r="B5" s="16" t="inlineStr">
        <is>
          <t>N F</t>
        </is>
      </c>
      <c r="C5" s="137" t="inlineStr">
        <is>
          <t>Витамин A 25000 МЕ (7500 мкг) 100 софтгелей</t>
        </is>
      </c>
      <c r="D5" s="50" t="n">
        <v>107000</v>
      </c>
      <c r="E5" s="33" t="n">
        <v>12</v>
      </c>
      <c r="F5" s="34" t="inlineStr">
        <is>
          <t xml:space="preserve">3 года </t>
        </is>
      </c>
      <c r="G5" s="138" t="n">
        <v>2106909803</v>
      </c>
      <c r="H5" s="138" t="n">
        <v>2936001013000000</v>
      </c>
      <c r="I5" s="138" t="n">
        <v>733739003409</v>
      </c>
      <c r="J5" s="36" t="inlineStr">
        <is>
          <t>в наличии</t>
        </is>
      </c>
      <c r="K5" s="6" t="n"/>
      <c r="L5" s="139" t="n"/>
      <c r="M5" s="140">
        <f>L5*D5</f>
        <v/>
      </c>
    </row>
    <row r="6" ht="15.6" customFormat="1" customHeight="1" s="7">
      <c r="A6" s="5" t="n">
        <v>3</v>
      </c>
      <c r="B6" s="16" t="inlineStr">
        <is>
          <t>N F</t>
        </is>
      </c>
      <c r="C6" s="137" t="inlineStr">
        <is>
          <t>Биотин (Витамин B-7) 5000 мкг 60 капсул</t>
        </is>
      </c>
      <c r="D6" s="50" t="n">
        <v>101000</v>
      </c>
      <c r="E6" s="33" t="n">
        <v>12</v>
      </c>
      <c r="F6" s="34" t="inlineStr">
        <is>
          <t xml:space="preserve">3 года </t>
        </is>
      </c>
      <c r="G6" s="138" t="n">
        <v>2106909803</v>
      </c>
      <c r="H6" s="138" t="n">
        <v>2936001013000000</v>
      </c>
      <c r="I6" s="138" t="n">
        <v>733739004710</v>
      </c>
      <c r="J6" s="36" t="inlineStr">
        <is>
          <t>в наличии</t>
        </is>
      </c>
      <c r="K6" s="6" t="n"/>
      <c r="L6" s="139" t="n"/>
      <c r="M6" s="140">
        <f>L6*D6</f>
        <v/>
      </c>
    </row>
    <row r="7" ht="15.6" customFormat="1" customHeight="1" s="7">
      <c r="A7" s="5" t="n">
        <v>4</v>
      </c>
      <c r="B7" s="16" t="inlineStr">
        <is>
          <t>N F</t>
        </is>
      </c>
      <c r="C7" s="137" t="inlineStr">
        <is>
          <t>Биотин (Витамин B-7) 5000 мкг 120 капсул</t>
        </is>
      </c>
      <c r="D7" s="50" t="n">
        <v>169000</v>
      </c>
      <c r="E7" s="33" t="n">
        <v>12</v>
      </c>
      <c r="F7" s="34" t="inlineStr">
        <is>
          <t xml:space="preserve">3 года </t>
        </is>
      </c>
      <c r="G7" s="138" t="n">
        <v>2106909803</v>
      </c>
      <c r="H7" s="138" t="n">
        <v>2936001013000000</v>
      </c>
      <c r="I7" s="138" t="n">
        <v>733739004741</v>
      </c>
      <c r="J7" s="36" t="inlineStr">
        <is>
          <t>в наличии</t>
        </is>
      </c>
      <c r="K7" s="6" t="n"/>
      <c r="L7" s="139" t="n"/>
      <c r="M7" s="140">
        <f>L7*D7</f>
        <v/>
      </c>
    </row>
    <row r="8" ht="15.6" customFormat="1" customHeight="1" s="7">
      <c r="A8" s="5" t="n">
        <v>5</v>
      </c>
      <c r="B8" s="16" t="inlineStr">
        <is>
          <t>N F</t>
        </is>
      </c>
      <c r="C8" s="137" t="inlineStr">
        <is>
          <t>Биотин (Витамин B-7) 10, 000 мкг 120 капсул</t>
        </is>
      </c>
      <c r="D8" s="50" t="n">
        <v>255000</v>
      </c>
      <c r="E8" s="33" t="n">
        <v>12</v>
      </c>
      <c r="F8" s="34" t="inlineStr">
        <is>
          <t xml:space="preserve">3 года </t>
        </is>
      </c>
      <c r="G8" s="138" t="n">
        <v>2106909803</v>
      </c>
      <c r="H8" s="138" t="n">
        <v>2936001013000000</v>
      </c>
      <c r="I8" s="138" t="n">
        <v>733739004796</v>
      </c>
      <c r="J8" s="36" t="inlineStr">
        <is>
          <t>в наличии</t>
        </is>
      </c>
      <c r="K8" s="6" t="n"/>
      <c r="L8" s="139" t="n"/>
      <c r="M8" s="140">
        <f>L8*D8</f>
        <v/>
      </c>
    </row>
    <row r="9" ht="15.6" customFormat="1" customHeight="1" s="7">
      <c r="A9" s="5" t="n">
        <v>6</v>
      </c>
      <c r="B9" s="16" t="inlineStr">
        <is>
          <t>N F</t>
        </is>
      </c>
      <c r="C9" s="141" t="inlineStr">
        <is>
          <t>Астаксантин, 4 мг   90 капсул</t>
        </is>
      </c>
      <c r="D9" s="50" t="n">
        <v>342000</v>
      </c>
      <c r="E9" s="33" t="n">
        <v>12</v>
      </c>
      <c r="F9" s="34" t="inlineStr">
        <is>
          <t xml:space="preserve">4 года </t>
        </is>
      </c>
      <c r="G9" s="138" t="n">
        <v>2106909803</v>
      </c>
      <c r="H9" s="138" t="n">
        <v>2936001013000000</v>
      </c>
      <c r="I9" s="138" t="n">
        <v>733739023056</v>
      </c>
      <c r="J9" s="36" t="inlineStr">
        <is>
          <t>в наличии</t>
        </is>
      </c>
      <c r="K9" s="6" t="n"/>
      <c r="L9" s="139" t="n"/>
      <c r="M9" s="140">
        <f>L9*D9</f>
        <v/>
      </c>
    </row>
    <row r="10" ht="15.6" customFormat="1" customHeight="1" s="7">
      <c r="A10" s="5" t="n">
        <v>7</v>
      </c>
      <c r="B10" s="16" t="inlineStr">
        <is>
          <t>N F</t>
        </is>
      </c>
      <c r="C10" s="137" t="inlineStr">
        <is>
          <t>Рыбий жир с омега-3 1000 мг 30 капсул (1000 мг в 1 капсуле)</t>
        </is>
      </c>
      <c r="D10" s="50" t="n">
        <v>65000</v>
      </c>
      <c r="E10" s="33" t="n">
        <v>12</v>
      </c>
      <c r="F10" s="34" t="inlineStr">
        <is>
          <t xml:space="preserve">3 года </t>
        </is>
      </c>
      <c r="G10" s="138" t="n">
        <v>2106909803</v>
      </c>
      <c r="H10" s="138" t="n">
        <v>2936001013000000</v>
      </c>
      <c r="I10" s="138" t="n">
        <v>733739016492</v>
      </c>
      <c r="J10" s="36" t="inlineStr">
        <is>
          <t>в наличии</t>
        </is>
      </c>
      <c r="K10" s="6" t="n"/>
      <c r="L10" s="139" t="n"/>
      <c r="M10" s="140">
        <f>L10*D10</f>
        <v/>
      </c>
    </row>
    <row r="11" ht="15.6" customFormat="1" customHeight="1" s="7">
      <c r="A11" s="5" t="n">
        <v>8</v>
      </c>
      <c r="B11" s="16" t="inlineStr">
        <is>
          <t>N F</t>
        </is>
      </c>
      <c r="C11" s="137" t="inlineStr">
        <is>
          <t>Рыбий жир с омега-3 1000 мг 100 капсул (1000 мг в 1 капсуле)</t>
        </is>
      </c>
      <c r="D11" s="50" t="n">
        <v>138000</v>
      </c>
      <c r="E11" s="33" t="n">
        <v>12</v>
      </c>
      <c r="F11" s="34" t="inlineStr">
        <is>
          <t xml:space="preserve">3 года </t>
        </is>
      </c>
      <c r="G11" s="138" t="n">
        <v>2106909803</v>
      </c>
      <c r="H11" s="138" t="n">
        <v>2936001013000000</v>
      </c>
      <c r="I11" s="138" t="n">
        <v>733739016508</v>
      </c>
      <c r="J11" s="36" t="inlineStr">
        <is>
          <t>в наличии</t>
        </is>
      </c>
      <c r="K11" s="6" t="n"/>
      <c r="L11" s="139" t="n"/>
      <c r="M11" s="140">
        <f>L11*D11</f>
        <v/>
      </c>
    </row>
    <row r="12" ht="15.6" customFormat="1" customHeight="1" s="7">
      <c r="A12" s="5" t="n">
        <v>9</v>
      </c>
      <c r="B12" s="16" t="inlineStr">
        <is>
          <t>N F</t>
        </is>
      </c>
      <c r="C12" s="137" t="inlineStr">
        <is>
          <t>Рыбий жир с омега-3 1000 мг 200 капсул (1000 мг в 1 капсуле)</t>
        </is>
      </c>
      <c r="D12" s="50" t="n">
        <v>248000</v>
      </c>
      <c r="E12" s="33" t="n">
        <v>12</v>
      </c>
      <c r="F12" s="34" t="inlineStr">
        <is>
          <t xml:space="preserve">3 года </t>
        </is>
      </c>
      <c r="G12" s="138" t="n">
        <v>2106909803</v>
      </c>
      <c r="H12" s="138" t="n">
        <v>2936001013000000</v>
      </c>
      <c r="I12" s="138" t="n">
        <v>733739016522</v>
      </c>
      <c r="J12" s="36" t="inlineStr">
        <is>
          <t>в наличии</t>
        </is>
      </c>
      <c r="K12" s="39" t="n"/>
      <c r="L12" s="139" t="n"/>
      <c r="M12" s="140">
        <f>L12*D12</f>
        <v/>
      </c>
      <c r="N12" s="11" t="n"/>
    </row>
    <row r="13" ht="15.6" customFormat="1" customHeight="1" s="7">
      <c r="A13" s="5" t="n">
        <v>10</v>
      </c>
      <c r="B13" s="16" t="inlineStr">
        <is>
          <t>N F</t>
        </is>
      </c>
      <c r="C13" s="137" t="inlineStr">
        <is>
          <t>Рыбий жир с омега-3 1000 мг 500 капсул (1000 мг в 1 капсуле)</t>
        </is>
      </c>
      <c r="D13" s="50" t="n">
        <v>562000</v>
      </c>
      <c r="E13" s="33" t="n">
        <v>12</v>
      </c>
      <c r="F13" s="34" t="inlineStr">
        <is>
          <t xml:space="preserve">3 года </t>
        </is>
      </c>
      <c r="G13" s="138" t="n">
        <v>2106909803</v>
      </c>
      <c r="H13" s="138" t="n">
        <v>2936001013000000</v>
      </c>
      <c r="I13" s="142" t="n">
        <v>733739016539</v>
      </c>
      <c r="J13" s="36" t="inlineStr">
        <is>
          <t>в наличии</t>
        </is>
      </c>
      <c r="K13" s="39" t="n"/>
      <c r="L13" s="139" t="n"/>
      <c r="M13" s="140">
        <f>L13*D13</f>
        <v/>
      </c>
      <c r="N13" s="11" t="n"/>
    </row>
    <row r="14" ht="15.6" customFormat="1" customHeight="1" s="11">
      <c r="A14" s="5" t="n">
        <v>11</v>
      </c>
      <c r="B14" s="16" t="inlineStr">
        <is>
          <t>N F</t>
        </is>
      </c>
      <c r="C14" s="137" t="inlineStr">
        <is>
          <t>Рыбий жир с омега-3-6-9 1000 мг 100 капсул (1000 мг в 1 капсуле)</t>
        </is>
      </c>
      <c r="D14" s="50" t="n">
        <v>200000</v>
      </c>
      <c r="E14" s="33" t="n">
        <v>12</v>
      </c>
      <c r="F14" s="34" t="inlineStr">
        <is>
          <t xml:space="preserve">3 года </t>
        </is>
      </c>
      <c r="G14" s="138" t="n">
        <v>2106909803</v>
      </c>
      <c r="H14" s="138" t="n">
        <v>2936001013000000</v>
      </c>
      <c r="I14" s="138" t="n">
        <v>733739018359</v>
      </c>
      <c r="J14" s="36" t="inlineStr">
        <is>
          <t>в наличии</t>
        </is>
      </c>
      <c r="K14" s="40" t="n"/>
      <c r="L14" s="139" t="n"/>
      <c r="M14" s="140">
        <f>L14*D14</f>
        <v/>
      </c>
      <c r="N14" s="41" t="n"/>
    </row>
    <row r="15" ht="15.6" customFormat="1" customHeight="1" s="41">
      <c r="A15" s="5" t="n">
        <v>12</v>
      </c>
      <c r="B15" s="16" t="inlineStr">
        <is>
          <t>N F</t>
        </is>
      </c>
      <c r="C15" s="143" t="inlineStr">
        <is>
          <t>Ультра омега-3, рыбий жир 90 капсул</t>
        </is>
      </c>
      <c r="D15" s="50" t="n">
        <v>305000</v>
      </c>
      <c r="E15" s="33" t="n">
        <v>12</v>
      </c>
      <c r="F15" s="34" t="inlineStr">
        <is>
          <t xml:space="preserve">4 года </t>
        </is>
      </c>
      <c r="G15" s="138" t="n">
        <v>2106909803</v>
      </c>
      <c r="H15" s="138" t="n">
        <v>2936001013000000</v>
      </c>
      <c r="I15" s="138" t="n">
        <v>733739016614</v>
      </c>
      <c r="J15" s="36" t="inlineStr">
        <is>
          <t>в наличии</t>
        </is>
      </c>
      <c r="K15" s="6" t="n"/>
      <c r="L15" s="139" t="n"/>
      <c r="M15" s="140">
        <f>L15*D15</f>
        <v/>
      </c>
      <c r="N15" s="7" t="n"/>
    </row>
    <row r="16" ht="15.6" customFormat="1" customHeight="1" s="41">
      <c r="A16" s="5" t="n">
        <v>13</v>
      </c>
      <c r="B16" s="16" t="inlineStr">
        <is>
          <t>N F</t>
        </is>
      </c>
      <c r="C16" s="143" t="inlineStr">
        <is>
          <t>Ежовик гребенчатый 500 мг (Lion's Mane)  60 капсул</t>
        </is>
      </c>
      <c r="D16" s="50" t="n">
        <v>285000</v>
      </c>
      <c r="E16" s="33" t="n">
        <v>12</v>
      </c>
      <c r="F16" s="34" t="inlineStr">
        <is>
          <t xml:space="preserve">4 года </t>
        </is>
      </c>
      <c r="G16" s="138" t="n">
        <v>2106909803</v>
      </c>
      <c r="H16" s="138" t="n">
        <v>2936001013000000</v>
      </c>
      <c r="I16" s="138" t="n">
        <v>733739047892</v>
      </c>
      <c r="J16" s="36" t="inlineStr">
        <is>
          <t>в наличии</t>
        </is>
      </c>
      <c r="K16" s="6" t="n"/>
      <c r="L16" s="139" t="n"/>
      <c r="M16" s="140">
        <f>L16*D16</f>
        <v/>
      </c>
      <c r="N16" s="7" t="n"/>
    </row>
    <row r="17" ht="15.6" customFormat="1" customHeight="1" s="7">
      <c r="A17" s="5" t="n">
        <v>14</v>
      </c>
      <c r="B17" s="16" t="inlineStr">
        <is>
          <t>N F</t>
        </is>
      </c>
      <c r="C17" s="143" t="inlineStr">
        <is>
          <t>Clinical Cardio, Поддержка сердечно-сосудистой системы 90 капсул</t>
        </is>
      </c>
      <c r="D17" s="50" t="n">
        <v>460000</v>
      </c>
      <c r="E17" s="33" t="n">
        <v>12</v>
      </c>
      <c r="F17" s="34" t="inlineStr">
        <is>
          <t xml:space="preserve">2 года </t>
        </is>
      </c>
      <c r="G17" s="138" t="n">
        <v>2106909803</v>
      </c>
      <c r="H17" s="138" t="n">
        <v>2936001013000000</v>
      </c>
      <c r="I17" s="138" t="n">
        <v>733739033833</v>
      </c>
      <c r="J17" s="36" t="inlineStr">
        <is>
          <t>в наличии</t>
        </is>
      </c>
      <c r="K17" s="6" t="n"/>
      <c r="L17" s="139" t="n"/>
      <c r="M17" s="140">
        <f>L17*D17</f>
        <v/>
      </c>
    </row>
    <row r="18" ht="15.6" customFormat="1" customHeight="1" s="7">
      <c r="A18" s="5" t="n">
        <v>15</v>
      </c>
      <c r="B18" s="16" t="inlineStr">
        <is>
          <t>N F</t>
        </is>
      </c>
      <c r="C18" s="137" t="inlineStr">
        <is>
          <t>Якорцы Sports TRIBULUS, 1000 мг,  90 таблеток</t>
        </is>
      </c>
      <c r="D18" s="50" t="n">
        <v>262000</v>
      </c>
      <c r="E18" s="33" t="n">
        <v>12</v>
      </c>
      <c r="F18" s="34" t="inlineStr">
        <is>
          <t xml:space="preserve">5 года </t>
        </is>
      </c>
      <c r="G18" s="138" t="n">
        <v>2106909803</v>
      </c>
      <c r="H18" s="138" t="n">
        <v>2936001013000000</v>
      </c>
      <c r="I18" s="138" t="n">
        <v>733739021717</v>
      </c>
      <c r="J18" s="36" t="inlineStr">
        <is>
          <t>в наличии</t>
        </is>
      </c>
      <c r="K18" s="39" t="n"/>
      <c r="L18" s="139" t="n"/>
      <c r="M18" s="140">
        <f>L18*D18</f>
        <v/>
      </c>
      <c r="N18" s="11" t="n"/>
    </row>
    <row r="19" ht="15.6" customFormat="1" customHeight="1" s="7">
      <c r="A19" s="5" t="n">
        <v>16</v>
      </c>
      <c r="B19" s="16" t="inlineStr">
        <is>
          <t>N F</t>
        </is>
      </c>
      <c r="C19" s="143" t="inlineStr">
        <is>
          <t>Глицинат магния, 180 таблеток</t>
        </is>
      </c>
      <c r="D19" s="50" t="n">
        <v>379000</v>
      </c>
      <c r="E19" s="33" t="n">
        <v>12</v>
      </c>
      <c r="F19" s="34" t="inlineStr">
        <is>
          <t xml:space="preserve">3 года </t>
        </is>
      </c>
      <c r="G19" s="138" t="n">
        <v>2106909803</v>
      </c>
      <c r="H19" s="138" t="n">
        <v>2936001013000000</v>
      </c>
      <c r="I19" s="138" t="n">
        <v>733739012890</v>
      </c>
      <c r="J19" s="36" t="inlineStr">
        <is>
          <t>в наличии</t>
        </is>
      </c>
      <c r="K19" s="6" t="n"/>
      <c r="L19" s="139" t="n"/>
      <c r="M19" s="140">
        <f>L19*D19</f>
        <v/>
      </c>
    </row>
    <row r="20" ht="15.6" customFormat="1" customHeight="1" s="7">
      <c r="A20" s="5" t="n">
        <v>17</v>
      </c>
      <c r="B20" s="16" t="inlineStr">
        <is>
          <t>N F</t>
        </is>
      </c>
      <c r="C20" s="143" t="inlineStr">
        <is>
          <t>Магний в капсулах, 400 мг  180 растительных капсул</t>
        </is>
      </c>
      <c r="D20" s="50" t="n">
        <v>276000</v>
      </c>
      <c r="E20" s="33" t="n">
        <v>12</v>
      </c>
      <c r="F20" s="34" t="inlineStr">
        <is>
          <t xml:space="preserve">5 года </t>
        </is>
      </c>
      <c r="G20" s="138" t="n">
        <v>2106909803</v>
      </c>
      <c r="H20" s="138" t="n">
        <v>2936001013000000</v>
      </c>
      <c r="I20" s="138" t="n">
        <v>733739012838</v>
      </c>
      <c r="J20" s="36" t="inlineStr">
        <is>
          <t>в наличии</t>
        </is>
      </c>
      <c r="K20" s="39" t="n"/>
      <c r="L20" s="139" t="n"/>
      <c r="M20" s="140">
        <f>L20*D20</f>
        <v/>
      </c>
      <c r="N20" s="11" t="n"/>
    </row>
    <row r="21" ht="15.6" customFormat="1" customHeight="1" s="7">
      <c r="A21" s="5" t="n">
        <v>18</v>
      </c>
      <c r="B21" s="16" t="inlineStr">
        <is>
          <t>N F</t>
        </is>
      </c>
      <c r="C21" s="143" t="inlineStr">
        <is>
          <t>Малат магния 1000 мг, 180 таблеток</t>
        </is>
      </c>
      <c r="D21" s="50" t="n">
        <v>335000</v>
      </c>
      <c r="E21" s="33" t="n">
        <v>12</v>
      </c>
      <c r="F21" s="34" t="inlineStr">
        <is>
          <t xml:space="preserve">5 года </t>
        </is>
      </c>
      <c r="G21" s="138" t="n">
        <v>2106909803</v>
      </c>
      <c r="H21" s="138" t="n">
        <v>2936001013000000</v>
      </c>
      <c r="I21" s="138" t="n">
        <v>733739013002</v>
      </c>
      <c r="J21" s="36" t="inlineStr">
        <is>
          <t>в наличии</t>
        </is>
      </c>
      <c r="K21" s="6" t="n"/>
      <c r="L21" s="139" t="n"/>
      <c r="M21" s="140">
        <f>L21*D21</f>
        <v/>
      </c>
    </row>
    <row r="22" ht="15.6" customFormat="1" customHeight="1" s="11">
      <c r="A22" s="5" t="n">
        <v>19</v>
      </c>
      <c r="B22" s="16" t="inlineStr">
        <is>
          <t>N F</t>
        </is>
      </c>
      <c r="C22" s="143" t="inlineStr">
        <is>
          <t>Цитрат магния  60 вегетарианских капсул</t>
        </is>
      </c>
      <c r="D22" s="50" t="n">
        <v>163000</v>
      </c>
      <c r="E22" s="33" t="n">
        <v>12</v>
      </c>
      <c r="F22" s="34" t="inlineStr">
        <is>
          <t xml:space="preserve">2 года </t>
        </is>
      </c>
      <c r="G22" s="138" t="n">
        <v>2106909803</v>
      </c>
      <c r="H22" s="138" t="n">
        <v>2936001013000000</v>
      </c>
      <c r="I22" s="138" t="n">
        <v>733739012913</v>
      </c>
      <c r="J22" s="36" t="inlineStr">
        <is>
          <t>в наличии</t>
        </is>
      </c>
      <c r="K22" s="39" t="n"/>
      <c r="L22" s="139" t="n"/>
      <c r="M22" s="140">
        <f>L22*D22</f>
        <v/>
      </c>
    </row>
    <row r="23" ht="15.6" customFormat="1" customHeight="1" s="11">
      <c r="A23" s="5" t="n">
        <v>20</v>
      </c>
      <c r="B23" s="16" t="inlineStr">
        <is>
          <t>N F</t>
        </is>
      </c>
      <c r="C23" s="143" t="inlineStr">
        <is>
          <t>Цитрат магния  120 вегетарианских капсул</t>
        </is>
      </c>
      <c r="D23" s="50" t="n">
        <v>241000</v>
      </c>
      <c r="E23" s="33" t="n">
        <v>12</v>
      </c>
      <c r="F23" s="34" t="inlineStr">
        <is>
          <t xml:space="preserve">2 года </t>
        </is>
      </c>
      <c r="G23" s="138" t="n">
        <v>2106909803</v>
      </c>
      <c r="H23" s="138" t="n">
        <v>2936001013000000</v>
      </c>
      <c r="I23" s="138" t="n">
        <v>733739012944</v>
      </c>
      <c r="J23" s="36" t="inlineStr">
        <is>
          <t>в наличии</t>
        </is>
      </c>
      <c r="K23" s="39" t="n"/>
      <c r="L23" s="139" t="n"/>
      <c r="M23" s="140">
        <f>L23*D23</f>
        <v/>
      </c>
    </row>
    <row r="24" ht="15.6" customFormat="1" customHeight="1" s="11">
      <c r="A24" s="5" t="n">
        <v>21</v>
      </c>
      <c r="B24" s="16" t="inlineStr">
        <is>
          <t>N F</t>
        </is>
      </c>
      <c r="C24" s="143" t="inlineStr">
        <is>
          <t>Кальций и магний 500/250 мг 100 таблеток</t>
        </is>
      </c>
      <c r="D24" s="50" t="n">
        <v>172000</v>
      </c>
      <c r="E24" s="33" t="n">
        <v>12</v>
      </c>
      <c r="F24" s="34" t="inlineStr">
        <is>
          <t xml:space="preserve">5 года </t>
        </is>
      </c>
      <c r="G24" s="138" t="n">
        <v>2106909803</v>
      </c>
      <c r="H24" s="138" t="n">
        <v>2936001013000000</v>
      </c>
      <c r="I24" s="138" t="n">
        <v>733739012708</v>
      </c>
      <c r="J24" s="36" t="inlineStr">
        <is>
          <t>в наличии</t>
        </is>
      </c>
      <c r="K24" s="6" t="n"/>
      <c r="L24" s="139" t="n"/>
      <c r="M24" s="140">
        <f>L24*D24</f>
        <v/>
      </c>
      <c r="N24" s="7" t="n"/>
    </row>
    <row r="25" ht="15.6" customFormat="1" customHeight="1" s="7">
      <c r="A25" s="5" t="n">
        <v>22</v>
      </c>
      <c r="B25" s="16" t="inlineStr">
        <is>
          <t>N F</t>
        </is>
      </c>
      <c r="C25" s="143" t="inlineStr">
        <is>
          <t>Цитрат Кальция с витамином D-2, 100 таблекток</t>
        </is>
      </c>
      <c r="D25" s="50" t="n">
        <v>213000</v>
      </c>
      <c r="E25" s="33" t="n">
        <v>12</v>
      </c>
      <c r="F25" s="34" t="inlineStr">
        <is>
          <t xml:space="preserve">2 года </t>
        </is>
      </c>
      <c r="G25" s="138" t="n">
        <v>2106909803</v>
      </c>
      <c r="H25" s="138" t="n">
        <v>2936001013000000</v>
      </c>
      <c r="I25" s="138" t="n">
        <v>733739012302</v>
      </c>
      <c r="J25" s="36" t="inlineStr">
        <is>
          <t>в наличии</t>
        </is>
      </c>
      <c r="K25" s="6" t="n"/>
      <c r="L25" s="139" t="n"/>
      <c r="M25" s="140">
        <f>L25*D25</f>
        <v/>
      </c>
    </row>
    <row r="26" ht="15.6" customFormat="1" customHeight="1" s="7">
      <c r="A26" s="5" t="n">
        <v>23</v>
      </c>
      <c r="B26" s="16" t="inlineStr">
        <is>
          <t>N F</t>
        </is>
      </c>
      <c r="C26" s="143" t="inlineStr">
        <is>
          <t>Гидрохлорид бетаина, 648 мг, 120   капсул</t>
        </is>
      </c>
      <c r="D26" s="50" t="n">
        <v>289000</v>
      </c>
      <c r="E26" s="33" t="n">
        <v>12</v>
      </c>
      <c r="F26" s="34" t="inlineStr">
        <is>
          <t xml:space="preserve">4 года </t>
        </is>
      </c>
      <c r="G26" s="138" t="n">
        <v>2106909803</v>
      </c>
      <c r="H26" s="138" t="n">
        <v>2936001013000000</v>
      </c>
      <c r="I26" s="138" t="n">
        <v>733739029386</v>
      </c>
      <c r="J26" s="36" t="inlineStr">
        <is>
          <t>в наличии</t>
        </is>
      </c>
      <c r="K26" s="6" t="n"/>
      <c r="L26" s="139" t="n"/>
      <c r="M26" s="140">
        <f>L26*D26</f>
        <v/>
      </c>
    </row>
    <row r="27" ht="15.6" customFormat="1" customHeight="1" s="7">
      <c r="A27" s="5" t="n">
        <v>24</v>
      </c>
      <c r="B27" s="16" t="inlineStr">
        <is>
          <t>N F</t>
        </is>
      </c>
      <c r="C27" s="143" t="inlineStr">
        <is>
          <t>Гарциния, 1000 мг  120 таблеток</t>
        </is>
      </c>
      <c r="D27" s="50" t="n">
        <v>340800</v>
      </c>
      <c r="E27" s="33" t="n">
        <v>12</v>
      </c>
      <c r="F27" s="34" t="inlineStr">
        <is>
          <t xml:space="preserve">3 года </t>
        </is>
      </c>
      <c r="G27" s="138" t="n">
        <v>2106909803</v>
      </c>
      <c r="H27" s="138" t="n">
        <v>2936001013000000</v>
      </c>
      <c r="I27" s="138" t="n">
        <v>733739014351</v>
      </c>
      <c r="J27" s="36" t="inlineStr">
        <is>
          <t>в наличии</t>
        </is>
      </c>
      <c r="K27" s="6" t="n"/>
      <c r="L27" s="139" t="n"/>
      <c r="M27" s="140">
        <f>L27*D27</f>
        <v/>
      </c>
    </row>
    <row r="28" ht="15.6" customFormat="1" customHeight="1" s="7">
      <c r="A28" s="5" t="n">
        <v>25</v>
      </c>
      <c r="B28" s="16" t="inlineStr">
        <is>
          <t>N F</t>
        </is>
      </c>
      <c r="C28" s="143" t="inlineStr">
        <is>
          <t>Мега Д-3 и MK-7,  5000 IU / 180 мкг  60 капсул</t>
        </is>
      </c>
      <c r="D28" s="50" t="n">
        <v>244000</v>
      </c>
      <c r="E28" s="33" t="n">
        <v>12</v>
      </c>
      <c r="F28" s="34" t="inlineStr">
        <is>
          <t xml:space="preserve">3 года </t>
        </is>
      </c>
      <c r="G28" s="138" t="n">
        <v>2106909803</v>
      </c>
      <c r="H28" s="138" t="n">
        <v>2936001013000000</v>
      </c>
      <c r="I28" s="138" t="n">
        <v>733739003843</v>
      </c>
      <c r="J28" s="36" t="inlineStr">
        <is>
          <t>в наличии</t>
        </is>
      </c>
      <c r="K28" s="39" t="n"/>
      <c r="L28" s="139" t="n"/>
      <c r="M28" s="140">
        <f>L28*D28</f>
        <v/>
      </c>
      <c r="N28" s="11" t="n"/>
    </row>
    <row r="29" ht="15.6" customFormat="1" customHeight="1" s="11">
      <c r="A29" s="5" t="n">
        <v>26</v>
      </c>
      <c r="B29" s="16" t="inlineStr">
        <is>
          <t>N F</t>
        </is>
      </c>
      <c r="C29" s="143" t="inlineStr">
        <is>
          <t>Витамины Д-3 и K2  120 растительных капсул</t>
        </is>
      </c>
      <c r="D29" s="50" t="n">
        <v>155000</v>
      </c>
      <c r="E29" s="33" t="n">
        <v>12</v>
      </c>
      <c r="F29" s="34" t="inlineStr">
        <is>
          <t xml:space="preserve">4 года </t>
        </is>
      </c>
      <c r="G29" s="138" t="n">
        <v>2106909803</v>
      </c>
      <c r="H29" s="138" t="n">
        <v>2936001013000000</v>
      </c>
      <c r="I29" s="138" t="n">
        <v>733739003690</v>
      </c>
      <c r="J29" s="36" t="inlineStr">
        <is>
          <t>в наличии</t>
        </is>
      </c>
      <c r="K29" s="39" t="n"/>
      <c r="L29" s="139" t="n"/>
      <c r="M29" s="140">
        <f>L29*D29</f>
        <v/>
      </c>
    </row>
    <row r="30" ht="15.6" customFormat="1" customHeight="1" s="11">
      <c r="A30" s="5" t="n">
        <v>27</v>
      </c>
      <c r="B30" s="16" t="inlineStr">
        <is>
          <t>N F</t>
        </is>
      </c>
      <c r="C30" s="61" t="inlineStr">
        <is>
          <t>Витамин Д-3 1000 IU 120 капсул</t>
        </is>
      </c>
      <c r="D30" s="50" t="inlineStr">
        <is>
          <t>-</t>
        </is>
      </c>
      <c r="E30" s="33" t="n">
        <v>12</v>
      </c>
      <c r="F30" s="34" t="inlineStr">
        <is>
          <t xml:space="preserve">4 года </t>
        </is>
      </c>
      <c r="G30" s="138" t="n">
        <v>2106909803</v>
      </c>
      <c r="H30" s="138" t="n">
        <v>2936001013000000</v>
      </c>
      <c r="I30" s="138" t="n">
        <v>733739003652</v>
      </c>
      <c r="J30" s="36" t="inlineStr">
        <is>
          <t>в наличии</t>
        </is>
      </c>
      <c r="K30" s="39" t="n"/>
      <c r="L30" s="139" t="n"/>
      <c r="M30" s="140" t="n"/>
    </row>
    <row r="31" ht="15.6" customFormat="1" customHeight="1" s="11">
      <c r="A31" s="5" t="n">
        <v>28</v>
      </c>
      <c r="B31" s="16" t="inlineStr">
        <is>
          <t>N F</t>
        </is>
      </c>
      <c r="C31" s="143" t="inlineStr">
        <is>
          <t>Витамин Д-3 2000 IU  30 капсул</t>
        </is>
      </c>
      <c r="D31" s="50" t="n">
        <v>53000</v>
      </c>
      <c r="E31" s="33" t="n">
        <v>12</v>
      </c>
      <c r="F31" s="34" t="inlineStr">
        <is>
          <t xml:space="preserve">4 года </t>
        </is>
      </c>
      <c r="G31" s="138" t="n">
        <v>2106909803</v>
      </c>
      <c r="H31" s="138" t="n">
        <v>2936001013000000</v>
      </c>
      <c r="I31" s="138" t="n">
        <v>733739003553</v>
      </c>
      <c r="J31" s="36" t="inlineStr">
        <is>
          <t>в наличии</t>
        </is>
      </c>
      <c r="K31" s="39" t="inlineStr">
        <is>
          <t> </t>
        </is>
      </c>
      <c r="L31" s="139" t="n"/>
      <c r="M31" s="140">
        <f>L31*D31</f>
        <v/>
      </c>
    </row>
    <row r="32" ht="15.6" customFormat="1" customHeight="1" s="11">
      <c r="A32" s="5" t="n">
        <v>29</v>
      </c>
      <c r="B32" s="16" t="inlineStr">
        <is>
          <t>N F</t>
        </is>
      </c>
      <c r="C32" s="143" t="inlineStr">
        <is>
          <t>Витамин Д-3 2000 IU 120 капсул</t>
        </is>
      </c>
      <c r="D32" s="50" t="n">
        <v>89000</v>
      </c>
      <c r="E32" s="33" t="n">
        <v>12</v>
      </c>
      <c r="F32" s="34" t="inlineStr">
        <is>
          <t xml:space="preserve">4 года </t>
        </is>
      </c>
      <c r="G32" s="138" t="n">
        <v>2106909803</v>
      </c>
      <c r="H32" s="138" t="n">
        <v>2936001013000000</v>
      </c>
      <c r="I32" s="138" t="n">
        <v>733739003676</v>
      </c>
      <c r="J32" s="36" t="inlineStr">
        <is>
          <t>в наличии</t>
        </is>
      </c>
      <c r="K32" s="39" t="inlineStr">
        <is>
          <t> </t>
        </is>
      </c>
      <c r="L32" s="139" t="n"/>
      <c r="M32" s="140">
        <f>L32*D32</f>
        <v/>
      </c>
    </row>
    <row r="33" ht="15.6" customFormat="1" customHeight="1" s="11">
      <c r="A33" s="5" t="n">
        <v>30</v>
      </c>
      <c r="B33" s="16" t="inlineStr">
        <is>
          <t>N F</t>
        </is>
      </c>
      <c r="C33" s="143" t="inlineStr">
        <is>
          <t>Витамин Д-3 2000 IU 240 капсул</t>
        </is>
      </c>
      <c r="D33" s="50" t="n">
        <v>155000</v>
      </c>
      <c r="E33" s="33" t="n">
        <v>12</v>
      </c>
      <c r="F33" s="34" t="inlineStr">
        <is>
          <t xml:space="preserve">4 года </t>
        </is>
      </c>
      <c r="G33" s="138" t="n">
        <v>2106909803</v>
      </c>
      <c r="H33" s="138" t="n">
        <v>2936001013000000</v>
      </c>
      <c r="I33" s="138" t="n">
        <v>733739003775</v>
      </c>
      <c r="J33" s="36" t="inlineStr">
        <is>
          <t>в наличии</t>
        </is>
      </c>
      <c r="K33" s="39" t="inlineStr">
        <is>
          <t> </t>
        </is>
      </c>
      <c r="L33" s="139" t="n"/>
      <c r="M33" s="140">
        <f>L33*D33</f>
        <v/>
      </c>
    </row>
    <row r="34" ht="15.6" customFormat="1" customHeight="1" s="11">
      <c r="A34" s="5" t="n">
        <v>31</v>
      </c>
      <c r="B34" s="16" t="inlineStr">
        <is>
          <t>N F</t>
        </is>
      </c>
      <c r="C34" s="143" t="inlineStr">
        <is>
          <t>Витамин Д-3 5000 IU  30 капсул</t>
        </is>
      </c>
      <c r="D34" s="50" t="n">
        <v>56000</v>
      </c>
      <c r="E34" s="33" t="n">
        <v>12</v>
      </c>
      <c r="F34" s="34" t="inlineStr">
        <is>
          <t xml:space="preserve">4 года </t>
        </is>
      </c>
      <c r="G34" s="138" t="n">
        <v>2106909803</v>
      </c>
      <c r="H34" s="138" t="n">
        <v>2936001013000000</v>
      </c>
      <c r="I34" s="138" t="n">
        <v>733739003744</v>
      </c>
      <c r="J34" s="36" t="inlineStr">
        <is>
          <t>в наличии</t>
        </is>
      </c>
      <c r="K34" s="39" t="n"/>
      <c r="L34" s="139" t="n"/>
      <c r="M34" s="140">
        <f>L34*D34</f>
        <v/>
      </c>
    </row>
    <row r="35" ht="15.6" customFormat="1" customHeight="1" s="11">
      <c r="A35" s="5" t="n">
        <v>32</v>
      </c>
      <c r="B35" s="16" t="inlineStr">
        <is>
          <t>N F</t>
        </is>
      </c>
      <c r="C35" s="143" t="inlineStr">
        <is>
          <t>Витамин Д-3 5000 IU 120 капсул</t>
        </is>
      </c>
      <c r="D35" s="50" t="n">
        <v>122000</v>
      </c>
      <c r="E35" s="33" t="n">
        <v>12</v>
      </c>
      <c r="F35" s="34" t="inlineStr">
        <is>
          <t xml:space="preserve">4 года </t>
        </is>
      </c>
      <c r="G35" s="138" t="n">
        <v>2106909803</v>
      </c>
      <c r="H35" s="138" t="n">
        <v>2936001013000000</v>
      </c>
      <c r="I35" s="138" t="n">
        <v>733739003720</v>
      </c>
      <c r="J35" s="36" t="inlineStr">
        <is>
          <t>в наличии</t>
        </is>
      </c>
      <c r="K35" s="6" t="inlineStr">
        <is>
          <t> </t>
        </is>
      </c>
      <c r="L35" s="139" t="n"/>
      <c r="M35" s="140">
        <f>L35*D35</f>
        <v/>
      </c>
      <c r="N35" s="7" t="n"/>
    </row>
    <row r="36" ht="15.6" customFormat="1" customHeight="1" s="7">
      <c r="A36" s="5" t="n">
        <v>33</v>
      </c>
      <c r="B36" s="16" t="inlineStr">
        <is>
          <t>N F</t>
        </is>
      </c>
      <c r="C36" s="143" t="inlineStr">
        <is>
          <t>Витамин Д-3 5000 IU 240 капсул</t>
        </is>
      </c>
      <c r="D36" s="50" t="n">
        <v>214000</v>
      </c>
      <c r="E36" s="33" t="n">
        <v>12</v>
      </c>
      <c r="F36" s="34" t="inlineStr">
        <is>
          <t xml:space="preserve">4 года </t>
        </is>
      </c>
      <c r="G36" s="138" t="n">
        <v>2106909803</v>
      </c>
      <c r="H36" s="138" t="n">
        <v>2936001013000000</v>
      </c>
      <c r="I36" s="138" t="n">
        <v>733739003737</v>
      </c>
      <c r="J36" s="36" t="inlineStr">
        <is>
          <t>в наличии</t>
        </is>
      </c>
      <c r="K36" s="6" t="n"/>
      <c r="L36" s="139" t="n"/>
      <c r="M36" s="140">
        <f>L36*D36</f>
        <v/>
      </c>
    </row>
    <row r="37" ht="15.6" customFormat="1" customHeight="1" s="7">
      <c r="A37" s="5" t="n">
        <v>34</v>
      </c>
      <c r="B37" s="16" t="inlineStr">
        <is>
          <t>N F</t>
        </is>
      </c>
      <c r="C37" s="144" t="inlineStr">
        <is>
          <t>Витамин Д-3 10,000 IU  30 капсул</t>
        </is>
      </c>
      <c r="D37" s="50" t="n">
        <v>73000</v>
      </c>
      <c r="E37" s="33" t="n">
        <v>12</v>
      </c>
      <c r="F37" s="34" t="inlineStr">
        <is>
          <t xml:space="preserve">4 года </t>
        </is>
      </c>
      <c r="G37" s="138" t="n">
        <v>2106909803</v>
      </c>
      <c r="H37" s="138" t="n">
        <v>2936001013000000</v>
      </c>
      <c r="I37" s="138" t="n">
        <v>733739003874</v>
      </c>
      <c r="J37" s="36" t="inlineStr">
        <is>
          <t>в наличии</t>
        </is>
      </c>
      <c r="K37" s="6" t="n"/>
      <c r="L37" s="139" t="n"/>
      <c r="M37" s="140">
        <f>L37*D37</f>
        <v/>
      </c>
    </row>
    <row r="38" ht="15.6" customFormat="1" customHeight="1" s="7">
      <c r="A38" s="5" t="n">
        <v>35</v>
      </c>
      <c r="B38" s="16" t="inlineStr">
        <is>
          <t>N F</t>
        </is>
      </c>
      <c r="C38" s="143" t="inlineStr">
        <is>
          <t>Витамин Д-3 10,000 IU 120 капсул</t>
        </is>
      </c>
      <c r="D38" s="50" t="n">
        <v>154000</v>
      </c>
      <c r="E38" s="33" t="n">
        <v>12</v>
      </c>
      <c r="F38" s="34" t="inlineStr">
        <is>
          <t xml:space="preserve">3 года </t>
        </is>
      </c>
      <c r="G38" s="138" t="n">
        <v>2106909803</v>
      </c>
      <c r="H38" s="138" t="n">
        <v>2936001013000000</v>
      </c>
      <c r="I38" s="138" t="n">
        <v>733739003768</v>
      </c>
      <c r="J38" s="36" t="inlineStr">
        <is>
          <t>в наличии</t>
        </is>
      </c>
      <c r="K38" s="6" t="n"/>
      <c r="L38" s="139" t="n"/>
      <c r="M38" s="140">
        <f>L38*D38</f>
        <v/>
      </c>
    </row>
    <row r="39" ht="15.6" customFormat="1" customHeight="1" s="7">
      <c r="A39" s="5" t="n">
        <v>36</v>
      </c>
      <c r="B39" s="16" t="inlineStr">
        <is>
          <t>N F</t>
        </is>
      </c>
      <c r="C39" s="143" t="inlineStr">
        <is>
          <t>Жидкий витамин Д-3  10 мкг (400 МЕ)  59 мл</t>
        </is>
      </c>
      <c r="D39" s="50" t="n">
        <v>116000</v>
      </c>
      <c r="E39" s="33" t="n">
        <v>35</v>
      </c>
      <c r="F39" s="34" t="inlineStr">
        <is>
          <t xml:space="preserve">4 года </t>
        </is>
      </c>
      <c r="G39" s="138" t="n">
        <v>2106909803</v>
      </c>
      <c r="H39" s="138" t="n">
        <v>2936001013000000</v>
      </c>
      <c r="I39" s="138" t="n">
        <v>733739003706</v>
      </c>
      <c r="J39" s="36" t="inlineStr">
        <is>
          <t>в наличии</t>
        </is>
      </c>
      <c r="K39" s="39" t="n"/>
      <c r="L39" s="139" t="n"/>
      <c r="M39" s="140">
        <f>L39*D39</f>
        <v/>
      </c>
      <c r="N39" s="11" t="n"/>
    </row>
    <row r="40" ht="15.6" customFormat="1" customHeight="1" s="11">
      <c r="A40" s="5" t="n">
        <v>37</v>
      </c>
      <c r="B40" s="16" t="inlineStr">
        <is>
          <t>N F</t>
        </is>
      </c>
      <c r="C40" s="137" t="inlineStr">
        <is>
          <t>Железо  двойной концентрации, 36 мг  90 вегетарианских капсул</t>
        </is>
      </c>
      <c r="D40" s="50" t="n">
        <v>138000</v>
      </c>
      <c r="E40" s="33" t="n">
        <v>12</v>
      </c>
      <c r="F40" s="34" t="inlineStr">
        <is>
          <t xml:space="preserve">3 года </t>
        </is>
      </c>
      <c r="G40" s="138" t="n">
        <v>2106909803</v>
      </c>
      <c r="H40" s="138" t="n">
        <v>2936001013000000</v>
      </c>
      <c r="I40" s="138" t="n">
        <v>733739014443</v>
      </c>
      <c r="J40" s="36" t="inlineStr">
        <is>
          <t>в наличии</t>
        </is>
      </c>
      <c r="K40" s="39" t="n"/>
      <c r="L40" s="139" t="n"/>
      <c r="M40" s="140">
        <f>L40*D40</f>
        <v/>
      </c>
    </row>
    <row r="41" ht="15.6" customFormat="1" customHeight="1" s="11">
      <c r="A41" s="5" t="n">
        <v>38</v>
      </c>
      <c r="B41" s="16" t="inlineStr">
        <is>
          <t>N F</t>
        </is>
      </c>
      <c r="C41" s="143" t="inlineStr">
        <is>
          <t>Инозитол 500 мг 100 капсул</t>
        </is>
      </c>
      <c r="D41" s="50" t="n">
        <v>154000</v>
      </c>
      <c r="E41" s="33" t="n">
        <v>12</v>
      </c>
      <c r="F41" s="34" t="inlineStr">
        <is>
          <t xml:space="preserve">5 года </t>
        </is>
      </c>
      <c r="G41" s="138" t="n">
        <v>2106909803</v>
      </c>
      <c r="H41" s="138" t="n">
        <v>2936001013000000</v>
      </c>
      <c r="I41" s="138" t="n">
        <v>733739004758</v>
      </c>
      <c r="J41" s="36" t="inlineStr">
        <is>
          <t>в наличии</t>
        </is>
      </c>
      <c r="K41" s="6" t="n"/>
      <c r="L41" s="139" t="n"/>
      <c r="M41" s="140">
        <f>L41*D41</f>
        <v/>
      </c>
      <c r="N41" s="7" t="n"/>
    </row>
    <row r="42" ht="15.6" customFormat="1" customHeight="1" s="7">
      <c r="A42" s="5" t="n">
        <v>39</v>
      </c>
      <c r="B42" s="16" t="inlineStr">
        <is>
          <t>N F</t>
        </is>
      </c>
      <c r="C42" s="143" t="inlineStr">
        <is>
          <t>Холин и Инозитол 100 капсул</t>
        </is>
      </c>
      <c r="D42" s="50" t="n">
        <v>184000</v>
      </c>
      <c r="E42" s="33" t="n">
        <v>12</v>
      </c>
      <c r="F42" s="34" t="inlineStr">
        <is>
          <t xml:space="preserve">4 года </t>
        </is>
      </c>
      <c r="G42" s="138" t="n">
        <v>2106909803</v>
      </c>
      <c r="H42" s="138" t="n">
        <v>2936001013000000</v>
      </c>
      <c r="I42" s="138" t="n">
        <v>733739004703</v>
      </c>
      <c r="J42" s="36" t="inlineStr">
        <is>
          <t>в наличии</t>
        </is>
      </c>
      <c r="K42" s="6" t="n"/>
      <c r="L42" s="139" t="n"/>
      <c r="M42" s="140">
        <f>L42*D42</f>
        <v/>
      </c>
    </row>
    <row r="43" ht="15.6" customFormat="1" customHeight="1" s="7">
      <c r="A43" s="5" t="n">
        <v>40</v>
      </c>
      <c r="B43" s="16" t="inlineStr">
        <is>
          <t>N F</t>
        </is>
      </c>
      <c r="C43" s="143" t="inlineStr">
        <is>
          <t>Селен 200 мкг 90 капсул</t>
        </is>
      </c>
      <c r="D43" s="50" t="n">
        <v>105000</v>
      </c>
      <c r="E43" s="33" t="n">
        <v>12</v>
      </c>
      <c r="F43" s="34" t="inlineStr">
        <is>
          <t xml:space="preserve">5 года </t>
        </is>
      </c>
      <c r="G43" s="138" t="n">
        <v>2106909803</v>
      </c>
      <c r="H43" s="138" t="n">
        <v>2936001013000000</v>
      </c>
      <c r="I43" s="138" t="n">
        <v>733739014856</v>
      </c>
      <c r="J43" s="36" t="inlineStr">
        <is>
          <t>в наличии</t>
        </is>
      </c>
      <c r="K43" s="6" t="n"/>
      <c r="L43" s="139" t="n"/>
      <c r="M43" s="140">
        <f>L43*D43</f>
        <v/>
      </c>
    </row>
    <row r="44" ht="15.6" customFormat="1" customHeight="1" s="7">
      <c r="A44" s="5" t="n">
        <v>41</v>
      </c>
      <c r="B44" s="16" t="inlineStr">
        <is>
          <t>N F</t>
        </is>
      </c>
      <c r="C44" s="143" t="inlineStr">
        <is>
          <t>Селен 200 мкг 180 капсул</t>
        </is>
      </c>
      <c r="D44" s="50" t="n">
        <v>190000</v>
      </c>
      <c r="E44" s="33" t="n">
        <v>12</v>
      </c>
      <c r="F44" s="34" t="inlineStr">
        <is>
          <t xml:space="preserve">4 года </t>
        </is>
      </c>
      <c r="G44" s="138" t="n">
        <v>2106909803</v>
      </c>
      <c r="H44" s="138" t="n">
        <v>2936001013000000</v>
      </c>
      <c r="I44" s="138" t="n">
        <v>733739014863</v>
      </c>
      <c r="J44" s="36" t="inlineStr">
        <is>
          <t>в наличии</t>
        </is>
      </c>
      <c r="K44" s="6" t="n"/>
      <c r="L44" s="139" t="n"/>
      <c r="M44" s="140">
        <f>L44*D44</f>
        <v/>
      </c>
    </row>
    <row r="45" ht="15.6" customFormat="1" customHeight="1" s="42">
      <c r="A45" s="5" t="n">
        <v>42</v>
      </c>
      <c r="B45" s="16" t="inlineStr">
        <is>
          <t>N F</t>
        </is>
      </c>
      <c r="C45" s="144" t="inlineStr">
        <is>
          <t>Спирулина, 3000 мг, 100 таблеток (500 мг в 1 таблетке)</t>
        </is>
      </c>
      <c r="D45" s="50" t="n">
        <v>106000</v>
      </c>
      <c r="E45" s="33" t="n">
        <v>12</v>
      </c>
      <c r="F45" s="34" t="inlineStr">
        <is>
          <t xml:space="preserve">4 года </t>
        </is>
      </c>
      <c r="G45" s="138" t="n">
        <v>2106909803</v>
      </c>
      <c r="H45" s="138" t="n">
        <v>2936001013000000</v>
      </c>
      <c r="I45" s="138" t="n">
        <v>733739026965</v>
      </c>
      <c r="J45" s="36" t="inlineStr">
        <is>
          <t>в наличии</t>
        </is>
      </c>
      <c r="K45" s="39" t="n"/>
      <c r="L45" s="139" t="n"/>
      <c r="M45" s="140">
        <f>L45*D45</f>
        <v/>
      </c>
      <c r="N45" s="11" t="n"/>
    </row>
    <row r="46" ht="15.6" customFormat="1" customHeight="1" s="42">
      <c r="A46" s="5" t="n">
        <v>43</v>
      </c>
      <c r="B46" s="16" t="inlineStr">
        <is>
          <t>N F</t>
        </is>
      </c>
      <c r="C46" s="143" t="inlineStr">
        <is>
          <t>Лецитин 1200 мг 100 капсул (400 мг в 1 капсуле)</t>
        </is>
      </c>
      <c r="D46" s="50" t="n">
        <v>172000</v>
      </c>
      <c r="E46" s="33" t="n">
        <v>12</v>
      </c>
      <c r="F46" s="34" t="inlineStr">
        <is>
          <t xml:space="preserve">4 года </t>
        </is>
      </c>
      <c r="G46" s="138" t="n">
        <v>2106909803</v>
      </c>
      <c r="H46" s="138" t="n">
        <v>2936001013000000</v>
      </c>
      <c r="I46" s="138" t="n">
        <v>733739022103</v>
      </c>
      <c r="J46" s="36" t="inlineStr">
        <is>
          <t>в наличии</t>
        </is>
      </c>
      <c r="K46" s="39" t="n"/>
      <c r="L46" s="139" t="n"/>
      <c r="M46" s="140">
        <f>L46*D46</f>
        <v/>
      </c>
      <c r="N46" s="11" t="n"/>
    </row>
    <row r="47" ht="15.6" customFormat="1" customHeight="1" s="7">
      <c r="A47" s="5" t="n">
        <v>44</v>
      </c>
      <c r="B47" s="16" t="inlineStr">
        <is>
          <t>N F</t>
        </is>
      </c>
      <c r="C47" s="137" t="inlineStr">
        <is>
          <t>Подсолнечный лецитин, чистый порошок 454 гр.</t>
        </is>
      </c>
      <c r="D47" s="50" t="n">
        <v>370000</v>
      </c>
      <c r="E47" s="33" t="n">
        <v>6</v>
      </c>
      <c r="F47" s="34" t="inlineStr">
        <is>
          <t xml:space="preserve">4 года </t>
        </is>
      </c>
      <c r="G47" s="138" t="n">
        <v>2106909803</v>
      </c>
      <c r="H47" s="138" t="n">
        <v>2936001013000000</v>
      </c>
      <c r="I47" s="138" t="n">
        <v>733739023148</v>
      </c>
      <c r="J47" s="36" t="inlineStr">
        <is>
          <t>в наличии</t>
        </is>
      </c>
      <c r="K47" s="40" t="n"/>
      <c r="L47" s="139" t="n"/>
      <c r="M47" s="140">
        <f>L47*D47</f>
        <v/>
      </c>
      <c r="N47" s="41" t="n"/>
    </row>
    <row r="48" ht="15.6" customFormat="1" customHeight="1" s="11">
      <c r="A48" s="5" t="n">
        <v>45</v>
      </c>
      <c r="B48" s="16" t="inlineStr">
        <is>
          <t>N F</t>
        </is>
      </c>
      <c r="C48" s="137" t="inlineStr">
        <is>
          <t>Цинк глюконат 50 мг 100 таблеток</t>
        </is>
      </c>
      <c r="D48" s="50" t="n">
        <v>85000</v>
      </c>
      <c r="E48" s="33" t="n">
        <v>12</v>
      </c>
      <c r="F48" s="34" t="inlineStr">
        <is>
          <t xml:space="preserve">5 года </t>
        </is>
      </c>
      <c r="G48" s="138" t="n">
        <v>2106909803</v>
      </c>
      <c r="H48" s="138" t="n">
        <v>2936001013000000</v>
      </c>
      <c r="I48" s="138" t="n">
        <v>733739015204</v>
      </c>
      <c r="J48" s="36" t="inlineStr">
        <is>
          <t>в наличии</t>
        </is>
      </c>
      <c r="K48" s="6" t="n"/>
      <c r="L48" s="139" t="n"/>
      <c r="M48" s="140">
        <f>L48*D48</f>
        <v/>
      </c>
      <c r="N48" s="7" t="n"/>
    </row>
    <row r="49" ht="15.6" customFormat="1" customHeight="1" s="11">
      <c r="A49" s="5" t="n">
        <v>46</v>
      </c>
      <c r="B49" s="16" t="inlineStr">
        <is>
          <t>N F</t>
        </is>
      </c>
      <c r="C49" s="141" t="inlineStr">
        <is>
          <t>Цинк глюконат 50 мг 250 таблеток</t>
        </is>
      </c>
      <c r="D49" s="50" t="n">
        <v>178000</v>
      </c>
      <c r="E49" s="33" t="n">
        <v>12</v>
      </c>
      <c r="F49" s="34" t="inlineStr">
        <is>
          <t xml:space="preserve">5 года </t>
        </is>
      </c>
      <c r="G49" s="138" t="n">
        <v>2106909803</v>
      </c>
      <c r="H49" s="138" t="n">
        <v>2936001013000000</v>
      </c>
      <c r="I49" s="138" t="n">
        <v>733739015228</v>
      </c>
      <c r="J49" s="36" t="inlineStr">
        <is>
          <t>в наличии</t>
        </is>
      </c>
      <c r="K49" s="6" t="n"/>
      <c r="L49" s="139" t="n"/>
      <c r="M49" s="140">
        <f>L49*D49</f>
        <v/>
      </c>
      <c r="N49" s="7" t="n"/>
    </row>
    <row r="50" ht="15.6" customFormat="1" customHeight="1" s="41">
      <c r="A50" s="5" t="n">
        <v>47</v>
      </c>
      <c r="B50" s="16" t="inlineStr">
        <is>
          <t>N F</t>
        </is>
      </c>
      <c r="C50" s="137" t="inlineStr">
        <is>
          <t>Цинк пиколинат 50 мг 60 капсул</t>
        </is>
      </c>
      <c r="D50" s="50" t="n">
        <v>106000</v>
      </c>
      <c r="E50" s="33" t="n">
        <v>12</v>
      </c>
      <c r="F50" s="34" t="inlineStr">
        <is>
          <t xml:space="preserve">5 года </t>
        </is>
      </c>
      <c r="G50" s="138" t="n">
        <v>2106909803</v>
      </c>
      <c r="H50" s="138" t="n">
        <v>2936001013000000</v>
      </c>
      <c r="I50" s="138" t="n">
        <v>733739015501</v>
      </c>
      <c r="J50" s="36" t="inlineStr">
        <is>
          <t>в наличии</t>
        </is>
      </c>
      <c r="K50" s="6" t="n"/>
      <c r="L50" s="139" t="n"/>
      <c r="M50" s="140">
        <f>L50*D50</f>
        <v/>
      </c>
      <c r="N50" s="7" t="n"/>
    </row>
    <row r="51" ht="15.6" customFormat="1" customHeight="1" s="7">
      <c r="A51" s="5" t="n">
        <v>48</v>
      </c>
      <c r="B51" s="16" t="inlineStr">
        <is>
          <t>N F</t>
        </is>
      </c>
      <c r="C51" s="137" t="inlineStr">
        <is>
          <t>Цинк пиколинат 50 мг 120 капсул</t>
        </is>
      </c>
      <c r="D51" s="50" t="n">
        <v>169000</v>
      </c>
      <c r="E51" s="33" t="n">
        <v>12</v>
      </c>
      <c r="F51" s="34" t="inlineStr">
        <is>
          <t xml:space="preserve">5 года </t>
        </is>
      </c>
      <c r="G51" s="138" t="n">
        <v>2106909803</v>
      </c>
      <c r="H51" s="138" t="n">
        <v>2936001013000000</v>
      </c>
      <c r="I51" s="138" t="n">
        <v>733739015525</v>
      </c>
      <c r="J51" s="36" t="inlineStr">
        <is>
          <t>в наличии</t>
        </is>
      </c>
      <c r="K51" s="6" t="n"/>
      <c r="L51" s="139" t="n"/>
      <c r="M51" s="140">
        <f>L51*D51</f>
        <v/>
      </c>
    </row>
    <row r="52" ht="15.6" customFormat="1" customHeight="1" s="7">
      <c r="A52" s="5" t="n">
        <v>49</v>
      </c>
      <c r="B52" s="16" t="inlineStr">
        <is>
          <t>N F</t>
        </is>
      </c>
      <c r="C52" s="137" t="inlineStr">
        <is>
          <t>Прополис 1500, 300 мг,  100 капсул</t>
        </is>
      </c>
      <c r="D52" s="50" t="n">
        <v>226000</v>
      </c>
      <c r="E52" s="33" t="n">
        <v>12</v>
      </c>
      <c r="F52" s="34" t="inlineStr">
        <is>
          <t xml:space="preserve">4 года </t>
        </is>
      </c>
      <c r="G52" s="138" t="n">
        <v>2106909803</v>
      </c>
      <c r="H52" s="138" t="n">
        <v>2936001013000000</v>
      </c>
      <c r="I52" s="138" t="n">
        <v>733739025401</v>
      </c>
      <c r="J52" s="36" t="inlineStr">
        <is>
          <t>в наличии</t>
        </is>
      </c>
      <c r="K52" s="6" t="n"/>
      <c r="L52" s="139" t="n"/>
      <c r="M52" s="140">
        <f>L52*D52</f>
        <v/>
      </c>
    </row>
    <row r="53" ht="15.6" customFormat="1" customHeight="1" s="7">
      <c r="A53" s="5" t="n">
        <v>50</v>
      </c>
      <c r="B53" s="16" t="inlineStr">
        <is>
          <t>N F</t>
        </is>
      </c>
      <c r="C53" s="144" t="inlineStr">
        <is>
          <t>Мелатонин 3 мг 60 капсул</t>
        </is>
      </c>
      <c r="D53" s="50" t="n">
        <v>70000</v>
      </c>
      <c r="E53" s="33" t="n">
        <v>12</v>
      </c>
      <c r="F53" s="34" t="inlineStr">
        <is>
          <t xml:space="preserve">5 года </t>
        </is>
      </c>
      <c r="G53" s="138" t="n">
        <v>2106909803</v>
      </c>
      <c r="H53" s="138" t="n">
        <v>2936001013000000</v>
      </c>
      <c r="I53" s="138" t="n">
        <v>733739032553</v>
      </c>
      <c r="J53" s="36" t="inlineStr">
        <is>
          <t>в наличии</t>
        </is>
      </c>
      <c r="K53" s="6" t="n"/>
      <c r="L53" s="139" t="n"/>
      <c r="M53" s="140">
        <f>L53*D53</f>
        <v/>
      </c>
    </row>
    <row r="54" ht="15.6" customFormat="1" customHeight="1" s="7">
      <c r="A54" s="5" t="n">
        <v>51</v>
      </c>
      <c r="B54" s="16" t="inlineStr">
        <is>
          <t>N F</t>
        </is>
      </c>
      <c r="C54" s="143" t="inlineStr">
        <is>
          <t>Мелатонин 3 мг 180 капсул</t>
        </is>
      </c>
      <c r="D54" s="50" t="n">
        <v>156000</v>
      </c>
      <c r="E54" s="33" t="n">
        <v>12</v>
      </c>
      <c r="F54" s="34" t="inlineStr">
        <is>
          <t xml:space="preserve">4 года </t>
        </is>
      </c>
      <c r="G54" s="138" t="n">
        <v>2106909803</v>
      </c>
      <c r="H54" s="138" t="n">
        <v>2936001013000000</v>
      </c>
      <c r="I54" s="138" t="n">
        <v>733739032577</v>
      </c>
      <c r="J54" s="36" t="inlineStr">
        <is>
          <t>в наличии</t>
        </is>
      </c>
      <c r="K54" s="6" t="n"/>
      <c r="L54" s="139" t="n"/>
      <c r="M54" s="140">
        <f>L54*D54</f>
        <v/>
      </c>
    </row>
    <row r="55" ht="15.6" customFormat="1" customHeight="1" s="7">
      <c r="A55" s="5" t="n">
        <v>52</v>
      </c>
      <c r="B55" s="16" t="inlineStr">
        <is>
          <t>N F</t>
        </is>
      </c>
      <c r="C55" s="145" t="inlineStr">
        <is>
          <t>Мелатонин 5 мг 60 таблеток</t>
        </is>
      </c>
      <c r="D55" s="50" t="n">
        <v>83000</v>
      </c>
      <c r="E55" s="33" t="n">
        <v>12</v>
      </c>
      <c r="F55" s="34" t="inlineStr">
        <is>
          <t xml:space="preserve">4 года </t>
        </is>
      </c>
      <c r="G55" s="138" t="n">
        <v>2106909803</v>
      </c>
      <c r="H55" s="138" t="n">
        <v>2936001013000000</v>
      </c>
      <c r="I55" s="138" t="n">
        <v>733739035554</v>
      </c>
      <c r="J55" s="36" t="inlineStr">
        <is>
          <t>в наличии</t>
        </is>
      </c>
      <c r="K55" s="6" t="n"/>
      <c r="L55" s="139" t="n"/>
      <c r="M55" s="140">
        <f>L55*D55</f>
        <v/>
      </c>
    </row>
    <row r="56" ht="15.6" customFormat="1" customHeight="1" s="7">
      <c r="A56" s="5" t="n">
        <v>53</v>
      </c>
      <c r="B56" s="16" t="inlineStr">
        <is>
          <t>N F</t>
        </is>
      </c>
      <c r="C56" s="143" t="inlineStr">
        <is>
          <t>Мелатонин 5 мг 120 таблеток</t>
        </is>
      </c>
      <c r="D56" s="50" t="n">
        <v>138000</v>
      </c>
      <c r="E56" s="33" t="n">
        <v>12</v>
      </c>
      <c r="F56" s="34" t="inlineStr">
        <is>
          <t xml:space="preserve">3 года </t>
        </is>
      </c>
      <c r="G56" s="138" t="n">
        <v>2106909803</v>
      </c>
      <c r="H56" s="138" t="n">
        <v>2936001013000000</v>
      </c>
      <c r="I56" s="138" t="n">
        <v>733739035547</v>
      </c>
      <c r="J56" s="36" t="inlineStr">
        <is>
          <t>в наличии</t>
        </is>
      </c>
      <c r="K56" s="6" t="n"/>
      <c r="L56" s="139" t="n"/>
      <c r="M56" s="140">
        <f>L56*D56</f>
        <v/>
      </c>
    </row>
    <row r="57" ht="15.6" customFormat="1" customHeight="1" s="7">
      <c r="A57" s="5" t="n">
        <v>54</v>
      </c>
      <c r="B57" s="16" t="inlineStr">
        <is>
          <t>N F</t>
        </is>
      </c>
      <c r="C57" s="143" t="inlineStr">
        <is>
          <t>Комплекс витаминов группы B, B-12 1000 мг 100 пастилок</t>
        </is>
      </c>
      <c r="D57" s="50" t="n">
        <v>123000</v>
      </c>
      <c r="E57" s="33" t="n">
        <v>12</v>
      </c>
      <c r="F57" s="34" t="inlineStr">
        <is>
          <t xml:space="preserve">3 года </t>
        </is>
      </c>
      <c r="G57" s="138" t="n">
        <v>2106909803</v>
      </c>
      <c r="H57" s="138" t="n">
        <v>2936001013000000</v>
      </c>
      <c r="I57" s="138" t="n">
        <v>733739004666</v>
      </c>
      <c r="J57" s="36" t="inlineStr">
        <is>
          <t>в наличии</t>
        </is>
      </c>
      <c r="K57" s="39" t="n"/>
      <c r="L57" s="139" t="n"/>
      <c r="M57" s="140">
        <f>L57*D57</f>
        <v/>
      </c>
      <c r="N57" s="11" t="n"/>
    </row>
    <row r="58" ht="15.6" customFormat="1" customHeight="1" s="7">
      <c r="A58" s="5" t="n">
        <v>55</v>
      </c>
      <c r="B58" s="16" t="inlineStr">
        <is>
          <t>N F</t>
        </is>
      </c>
      <c r="C58" s="143" t="inlineStr">
        <is>
          <t>Комплекс витаминов группы B, B-50 100 капсул</t>
        </is>
      </c>
      <c r="D58" s="50" t="n">
        <v>210000</v>
      </c>
      <c r="E58" s="33" t="n">
        <v>12</v>
      </c>
      <c r="F58" s="34" t="inlineStr">
        <is>
          <t xml:space="preserve">3 года </t>
        </is>
      </c>
      <c r="G58" s="138" t="n">
        <v>2106909803</v>
      </c>
      <c r="H58" s="138" t="n">
        <v>2936001013000000</v>
      </c>
      <c r="I58" s="138" t="n">
        <v>733739004208</v>
      </c>
      <c r="J58" s="36" t="inlineStr">
        <is>
          <t>в наличии</t>
        </is>
      </c>
      <c r="K58" s="6" t="n"/>
      <c r="L58" s="139" t="n"/>
      <c r="M58" s="140">
        <f>L58*D58</f>
        <v/>
      </c>
    </row>
    <row r="59" ht="15.6" customFormat="1" customHeight="1" s="11">
      <c r="A59" s="5" t="n">
        <v>56</v>
      </c>
      <c r="B59" s="16" t="inlineStr">
        <is>
          <t>N F</t>
        </is>
      </c>
      <c r="C59" s="143" t="inlineStr">
        <is>
          <t>C-500 с шиповником, 100 таблеток</t>
        </is>
      </c>
      <c r="D59" s="50" t="n">
        <v>103000</v>
      </c>
      <c r="E59" s="33" t="n">
        <v>12</v>
      </c>
      <c r="F59" s="34" t="inlineStr">
        <is>
          <t xml:space="preserve">3 года </t>
        </is>
      </c>
      <c r="G59" s="138" t="n">
        <v>2106909803</v>
      </c>
      <c r="H59" s="138" t="n">
        <v>2936001013000000</v>
      </c>
      <c r="I59" s="138" t="n">
        <v>733739006707</v>
      </c>
      <c r="J59" s="36" t="inlineStr">
        <is>
          <t>в наличии</t>
        </is>
      </c>
      <c r="K59" s="6" t="n"/>
      <c r="L59" s="139" t="n"/>
      <c r="M59" s="140">
        <f>L59*D59</f>
        <v/>
      </c>
      <c r="N59" s="7" t="n"/>
    </row>
    <row r="60" ht="15.6" customFormat="1" customHeight="1" s="7">
      <c r="A60" s="5" t="n">
        <v>57</v>
      </c>
      <c r="B60" s="16" t="inlineStr">
        <is>
          <t>N F</t>
        </is>
      </c>
      <c r="C60" s="144" t="inlineStr">
        <is>
          <t>C-1000 с шиповником, 100 таблеток</t>
        </is>
      </c>
      <c r="D60" s="50" t="n">
        <v>169000</v>
      </c>
      <c r="E60" s="33" t="n">
        <v>12</v>
      </c>
      <c r="F60" s="34" t="inlineStr">
        <is>
          <t xml:space="preserve">3 года </t>
        </is>
      </c>
      <c r="G60" s="138" t="n">
        <v>2106909803</v>
      </c>
      <c r="H60" s="138" t="n">
        <v>2936001013000000</v>
      </c>
      <c r="I60" s="138" t="n">
        <v>733739006806</v>
      </c>
      <c r="J60" s="36" t="inlineStr">
        <is>
          <t>в наличии</t>
        </is>
      </c>
      <c r="K60" s="6" t="n"/>
      <c r="L60" s="139" t="n"/>
      <c r="M60" s="140">
        <f>L60*D60</f>
        <v/>
      </c>
    </row>
    <row r="61" ht="15.6" customFormat="1" customHeight="1" s="7">
      <c r="A61" s="5" t="n">
        <v>58</v>
      </c>
      <c r="B61" s="16" t="inlineStr">
        <is>
          <t>N F</t>
        </is>
      </c>
      <c r="C61" s="144" t="inlineStr">
        <is>
          <t>Витамин E-200 134 мг (200 ме)  100 капсул</t>
        </is>
      </c>
      <c r="D61" s="50" t="n">
        <v>166000</v>
      </c>
      <c r="E61" s="33" t="n">
        <v>12</v>
      </c>
      <c r="F61" s="34" t="inlineStr">
        <is>
          <t xml:space="preserve">3 года </t>
        </is>
      </c>
      <c r="G61" s="138" t="n">
        <v>2106909803</v>
      </c>
      <c r="H61" s="138" t="n">
        <v>2936001013000000</v>
      </c>
      <c r="I61" s="138" t="n">
        <v>733739008251</v>
      </c>
      <c r="J61" s="36" t="inlineStr">
        <is>
          <t>в наличии</t>
        </is>
      </c>
      <c r="K61" s="6" t="n"/>
      <c r="L61" s="139" t="n"/>
      <c r="M61" s="140">
        <f>L61*D61</f>
        <v/>
      </c>
    </row>
    <row r="62" ht="15.6" customFormat="1" customHeight="1" s="7">
      <c r="A62" s="5" t="n">
        <v>59</v>
      </c>
      <c r="B62" s="16" t="inlineStr">
        <is>
          <t>N F</t>
        </is>
      </c>
      <c r="C62" s="143" t="inlineStr">
        <is>
          <t>Витамин E-400 МЕ (268 мг)  100 софтгелей</t>
        </is>
      </c>
      <c r="D62" s="50" t="n">
        <v>235000</v>
      </c>
      <c r="E62" s="33" t="n">
        <v>12</v>
      </c>
      <c r="F62" s="34" t="inlineStr">
        <is>
          <t xml:space="preserve">3 года </t>
        </is>
      </c>
      <c r="G62" s="138" t="n">
        <v>2106909803</v>
      </c>
      <c r="H62" s="138" t="n">
        <v>2936001013000000</v>
      </c>
      <c r="I62" s="138" t="n">
        <v>733739008374</v>
      </c>
      <c r="J62" s="36" t="inlineStr">
        <is>
          <t>в наличии</t>
        </is>
      </c>
      <c r="K62" s="43" t="n"/>
      <c r="L62" s="139" t="n"/>
      <c r="M62" s="140">
        <f>L62*D62</f>
        <v/>
      </c>
      <c r="N62" s="44" t="n"/>
    </row>
    <row r="63" ht="15.6" customFormat="1" customHeight="1" s="7">
      <c r="A63" s="5" t="n">
        <v>60</v>
      </c>
      <c r="B63" s="16" t="inlineStr">
        <is>
          <t>N F</t>
        </is>
      </c>
      <c r="C63" s="143" t="inlineStr">
        <is>
          <t>Глутатион, 250 мг  60  капсул</t>
        </is>
      </c>
      <c r="D63" s="50" t="n">
        <v>245000</v>
      </c>
      <c r="E63" s="33" t="n">
        <v>12</v>
      </c>
      <c r="F63" s="34" t="inlineStr">
        <is>
          <t xml:space="preserve">4 года </t>
        </is>
      </c>
      <c r="G63" s="138" t="n">
        <v>2106909803</v>
      </c>
      <c r="H63" s="138" t="n">
        <v>2936001013000000</v>
      </c>
      <c r="I63" s="138" t="n">
        <v>733739000965</v>
      </c>
      <c r="J63" s="36" t="inlineStr">
        <is>
          <t>в наличии</t>
        </is>
      </c>
      <c r="K63" s="43" t="n"/>
      <c r="L63" s="139" t="n"/>
      <c r="M63" s="140">
        <f>L63*D63</f>
        <v/>
      </c>
      <c r="N63" s="44" t="n"/>
    </row>
    <row r="64" ht="15.6" customFormat="1" customHeight="1" s="7">
      <c r="A64" s="5" t="n">
        <v>61</v>
      </c>
      <c r="B64" s="16" t="inlineStr">
        <is>
          <t>N F</t>
        </is>
      </c>
      <c r="C64" s="144" t="inlineStr">
        <is>
          <t>Глутатион, 500 мг  30  капсул</t>
        </is>
      </c>
      <c r="D64" s="50" t="n">
        <v>232000</v>
      </c>
      <c r="E64" s="33" t="n">
        <v>12</v>
      </c>
      <c r="F64" s="34" t="inlineStr">
        <is>
          <t xml:space="preserve">4 года </t>
        </is>
      </c>
      <c r="G64" s="138" t="n">
        <v>2106909803</v>
      </c>
      <c r="H64" s="138" t="n">
        <v>2936001013000000</v>
      </c>
      <c r="I64" s="138" t="n">
        <v>733739001757</v>
      </c>
      <c r="J64" s="36" t="inlineStr">
        <is>
          <t>в наличии</t>
        </is>
      </c>
      <c r="K64" s="43" t="n"/>
      <c r="L64" s="139" t="n"/>
      <c r="M64" s="140">
        <f>L64*D64</f>
        <v/>
      </c>
      <c r="N64" s="44" t="n"/>
    </row>
    <row r="65" ht="15.6" customFormat="1" customHeight="1" s="44">
      <c r="A65" s="5" t="n">
        <v>62</v>
      </c>
      <c r="B65" s="16" t="inlineStr">
        <is>
          <t>N F</t>
        </is>
      </c>
      <c r="C65" s="143" t="inlineStr">
        <is>
          <t>Probiotic-10, 25 млрд, 50 капсул</t>
        </is>
      </c>
      <c r="D65" s="50" t="n">
        <v>286000</v>
      </c>
      <c r="E65" s="33" t="n">
        <v>12</v>
      </c>
      <c r="F65" s="34" t="inlineStr">
        <is>
          <t xml:space="preserve">2 года </t>
        </is>
      </c>
      <c r="G65" s="138" t="n">
        <v>2106909803</v>
      </c>
      <c r="H65" s="138" t="n">
        <v>2936001013000000</v>
      </c>
      <c r="I65" s="138" t="n">
        <v>733739029263</v>
      </c>
      <c r="J65" s="36" t="inlineStr">
        <is>
          <t>в наличии</t>
        </is>
      </c>
      <c r="K65" s="43" t="n"/>
      <c r="L65" s="139" t="n"/>
      <c r="M65" s="140">
        <f>L65*D65</f>
        <v/>
      </c>
    </row>
    <row r="66" ht="15.6" customFormat="1" customHeight="1" s="45">
      <c r="A66" s="5" t="n">
        <v>63</v>
      </c>
      <c r="B66" s="16" t="inlineStr">
        <is>
          <t>N F</t>
        </is>
      </c>
      <c r="C66" s="143" t="inlineStr">
        <is>
          <t>L-аргинин 500 мг  100 капсул</t>
        </is>
      </c>
      <c r="D66" s="50" t="n">
        <v>140000</v>
      </c>
      <c r="E66" s="33" t="n">
        <v>12</v>
      </c>
      <c r="F66" s="34" t="inlineStr">
        <is>
          <t xml:space="preserve">4 года </t>
        </is>
      </c>
      <c r="G66" s="138" t="n">
        <v>2106909803</v>
      </c>
      <c r="H66" s="138" t="n">
        <v>2936001013000000</v>
      </c>
      <c r="I66" s="138" t="n">
        <v>733739000309</v>
      </c>
      <c r="J66" s="36" t="inlineStr">
        <is>
          <t>в наличии</t>
        </is>
      </c>
      <c r="K66" s="6" t="n"/>
      <c r="L66" s="139" t="n"/>
      <c r="M66" s="140">
        <f>L66*D66</f>
        <v/>
      </c>
      <c r="N66" s="7" t="n"/>
    </row>
    <row r="67" ht="15.6" customFormat="1" customHeight="1" s="45">
      <c r="A67" s="5" t="n">
        <v>64</v>
      </c>
      <c r="B67" s="16" t="inlineStr">
        <is>
          <t>N F</t>
        </is>
      </c>
      <c r="C67" s="143" t="inlineStr">
        <is>
          <t>L-аргинин Sports 1000 мг  60 капсул</t>
        </is>
      </c>
      <c r="D67" s="50" t="n">
        <v>217000</v>
      </c>
      <c r="E67" s="33" t="n">
        <v>12</v>
      </c>
      <c r="F67" s="34" t="inlineStr">
        <is>
          <t xml:space="preserve">4 года </t>
        </is>
      </c>
      <c r="G67" s="138" t="n">
        <v>2106909803</v>
      </c>
      <c r="H67" s="138" t="n">
        <v>2936001013000000</v>
      </c>
      <c r="I67" s="138" t="n">
        <v>733739000255</v>
      </c>
      <c r="J67" s="36" t="inlineStr">
        <is>
          <t>в наличии</t>
        </is>
      </c>
      <c r="K67" s="6" t="n"/>
      <c r="L67" s="139" t="n"/>
      <c r="M67" s="140">
        <f>L67*D67</f>
        <v/>
      </c>
      <c r="N67" s="7" t="n"/>
    </row>
    <row r="68" ht="15.6" customFormat="1" customHeight="1" s="45">
      <c r="A68" s="5" t="n">
        <v>65</v>
      </c>
      <c r="B68" s="16" t="inlineStr">
        <is>
          <t>N F</t>
        </is>
      </c>
      <c r="C68" s="143" t="inlineStr">
        <is>
          <t>L-аргинин Sports в виде порошка,  454 г</t>
        </is>
      </c>
      <c r="D68" s="50" t="n">
        <v>494000</v>
      </c>
      <c r="E68" s="33" t="n">
        <v>6</v>
      </c>
      <c r="F68" s="34" t="inlineStr">
        <is>
          <t xml:space="preserve">5 года </t>
        </is>
      </c>
      <c r="G68" s="138" t="n">
        <v>2106909803</v>
      </c>
      <c r="H68" s="138" t="n">
        <v>2936001013000000</v>
      </c>
      <c r="I68" s="138" t="n">
        <v>733739002105</v>
      </c>
      <c r="J68" s="36" t="inlineStr">
        <is>
          <t>в наличии</t>
        </is>
      </c>
      <c r="K68" s="6" t="n"/>
      <c r="L68" s="139" t="n"/>
      <c r="M68" s="140">
        <f>L68*D68</f>
        <v/>
      </c>
      <c r="N68" s="7" t="n"/>
    </row>
    <row r="69" ht="15.6" customFormat="1" customHeight="1" s="44">
      <c r="A69" s="5" t="n">
        <v>66</v>
      </c>
      <c r="B69" s="16" t="inlineStr">
        <is>
          <t>N F</t>
        </is>
      </c>
      <c r="C69" s="144" t="inlineStr">
        <is>
          <t>L-цистеин  500 мг 100 таблеток</t>
        </is>
      </c>
      <c r="D69" s="50" t="n">
        <v>254000</v>
      </c>
      <c r="E69" s="33" t="n">
        <v>12</v>
      </c>
      <c r="F69" s="34" t="inlineStr">
        <is>
          <t xml:space="preserve">5 года </t>
        </is>
      </c>
      <c r="G69" s="138" t="n">
        <v>2106909803</v>
      </c>
      <c r="H69" s="138" t="n">
        <v>2936001013000000</v>
      </c>
      <c r="I69" s="138" t="n">
        <v>733739000774</v>
      </c>
      <c r="J69" s="36" t="inlineStr">
        <is>
          <t>в наличии</t>
        </is>
      </c>
      <c r="K69" s="39" t="n"/>
      <c r="L69" s="139" t="n"/>
      <c r="M69" s="140">
        <f>L69*D69</f>
        <v/>
      </c>
      <c r="N69" s="11" t="n"/>
    </row>
    <row r="70" ht="15.6" customFormat="1" customHeight="1" s="7">
      <c r="A70" s="5" t="n">
        <v>67</v>
      </c>
      <c r="B70" s="16" t="inlineStr">
        <is>
          <t>N F</t>
        </is>
      </c>
      <c r="C70" s="137" t="inlineStr">
        <is>
          <t>L-карнитин  1000 мг  50 таблеток</t>
        </is>
      </c>
      <c r="D70" s="50" t="n">
        <v>314000</v>
      </c>
      <c r="E70" s="33" t="n">
        <v>12</v>
      </c>
      <c r="F70" s="34" t="inlineStr">
        <is>
          <t xml:space="preserve">4 года </t>
        </is>
      </c>
      <c r="G70" s="138" t="n">
        <v>2106909803</v>
      </c>
      <c r="H70" s="138" t="n">
        <v>2936001013000000</v>
      </c>
      <c r="I70" s="138" t="n">
        <v>733739000675</v>
      </c>
      <c r="J70" s="36" t="inlineStr">
        <is>
          <t>в наличии</t>
        </is>
      </c>
      <c r="K70" s="39" t="n"/>
      <c r="L70" s="139" t="n"/>
      <c r="M70" s="140">
        <f>L70*D70</f>
        <v/>
      </c>
      <c r="N70" s="11" t="n"/>
    </row>
    <row r="71" ht="15.6" customFormat="1" customHeight="1" s="44">
      <c r="A71" s="5" t="n">
        <v>68</v>
      </c>
      <c r="B71" s="16" t="inlineStr">
        <is>
          <t>N F</t>
        </is>
      </c>
      <c r="C71" s="143" t="inlineStr">
        <is>
          <t>Таурин  двойной концентрации, 1000 мг  100 растительных капсул</t>
        </is>
      </c>
      <c r="D71" s="50" t="n">
        <v>154000</v>
      </c>
      <c r="E71" s="33" t="n">
        <v>12</v>
      </c>
      <c r="F71" s="34" t="inlineStr">
        <is>
          <t xml:space="preserve">5 года </t>
        </is>
      </c>
      <c r="G71" s="138" t="n">
        <v>2106909803</v>
      </c>
      <c r="H71" s="138" t="n">
        <v>2936001013000000</v>
      </c>
      <c r="I71" s="138" t="n">
        <v>733739001429</v>
      </c>
      <c r="J71" s="36" t="inlineStr">
        <is>
          <t>в наличии</t>
        </is>
      </c>
      <c r="K71" s="39" t="n"/>
      <c r="L71" s="139" t="n"/>
      <c r="M71" s="140">
        <f>L71*D71</f>
        <v/>
      </c>
      <c r="N71" s="11" t="n"/>
    </row>
    <row r="72" ht="15.6" customFormat="1" customHeight="1" s="11">
      <c r="A72" s="5" t="n">
        <v>69</v>
      </c>
      <c r="B72" s="16" t="inlineStr">
        <is>
          <t>N F</t>
        </is>
      </c>
      <c r="C72" s="143" t="inlineStr">
        <is>
          <t>Пиколинат Хрома 200 мкг  100  капсул</t>
        </is>
      </c>
      <c r="D72" s="50" t="n">
        <v>89000</v>
      </c>
      <c r="E72" s="33" t="n">
        <v>12</v>
      </c>
      <c r="F72" s="34" t="inlineStr">
        <is>
          <t xml:space="preserve">6 года </t>
        </is>
      </c>
      <c r="G72" s="138" t="n">
        <v>2106909803</v>
      </c>
      <c r="H72" s="138" t="n">
        <v>2936001013000000</v>
      </c>
      <c r="I72" s="138" t="n">
        <v>733739014207</v>
      </c>
      <c r="J72" s="36" t="inlineStr">
        <is>
          <t>в наличии</t>
        </is>
      </c>
      <c r="K72" s="39" t="n"/>
      <c r="L72" s="139" t="n"/>
      <c r="M72" s="140">
        <f>L72*D72</f>
        <v/>
      </c>
    </row>
    <row r="73" ht="15.6" customFormat="1" customHeight="1" s="11">
      <c r="A73" s="5" t="n">
        <v>70</v>
      </c>
      <c r="B73" s="16" t="inlineStr">
        <is>
          <t>N F</t>
        </is>
      </c>
      <c r="C73" s="143" t="inlineStr">
        <is>
          <t>Пиколинат Хрома 200 мкг  250  капсул</t>
        </is>
      </c>
      <c r="D73" s="50" t="n">
        <v>235000</v>
      </c>
      <c r="E73" s="33" t="n">
        <v>12</v>
      </c>
      <c r="F73" s="34" t="inlineStr">
        <is>
          <t xml:space="preserve">5 года </t>
        </is>
      </c>
      <c r="G73" s="138" t="n">
        <v>2106909803</v>
      </c>
      <c r="H73" s="138" t="n">
        <v>2936001013000000</v>
      </c>
      <c r="I73" s="138" t="n">
        <v>733739014221</v>
      </c>
      <c r="J73" s="36" t="inlineStr">
        <is>
          <t>в наличии</t>
        </is>
      </c>
      <c r="K73" s="6" t="n"/>
      <c r="L73" s="139" t="n"/>
      <c r="M73" s="140">
        <f>L73*D73</f>
        <v/>
      </c>
      <c r="N73" s="7" t="n"/>
    </row>
    <row r="74" ht="15.6" customFormat="1" customHeight="1" s="11">
      <c r="A74" s="5" t="n">
        <v>71</v>
      </c>
      <c r="B74" s="16" t="inlineStr">
        <is>
          <t>N F</t>
        </is>
      </c>
      <c r="C74" s="143" t="inlineStr">
        <is>
          <t>Силимарин двойной силы действия 300 мг 50 капсул</t>
        </is>
      </c>
      <c r="D74" s="50" t="n">
        <v>127000</v>
      </c>
      <c r="E74" s="33" t="n">
        <v>12</v>
      </c>
      <c r="F74" s="34" t="inlineStr">
        <is>
          <t xml:space="preserve">4 года </t>
        </is>
      </c>
      <c r="G74" s="138" t="n">
        <v>2106909803</v>
      </c>
      <c r="H74" s="138" t="n">
        <v>2936001013000000</v>
      </c>
      <c r="I74" s="138" t="n">
        <v>733739047380</v>
      </c>
      <c r="J74" s="36" t="inlineStr">
        <is>
          <t>в наличии</t>
        </is>
      </c>
      <c r="K74" s="6" t="n"/>
      <c r="L74" s="139" t="n"/>
      <c r="M74" s="140">
        <f>L74*D74</f>
        <v/>
      </c>
      <c r="N74" s="7" t="n"/>
    </row>
    <row r="75" ht="15.6" customFormat="1" customHeight="1" s="11">
      <c r="A75" s="5" t="n">
        <v>72</v>
      </c>
      <c r="B75" s="16" t="inlineStr">
        <is>
          <t>N F</t>
        </is>
      </c>
      <c r="C75" s="143" t="inlineStr">
        <is>
          <t>Силимарин экстракт расторопши с куркумой, 150 мг  60 капсул</t>
        </is>
      </c>
      <c r="D75" s="50" t="n">
        <v>104000</v>
      </c>
      <c r="E75" s="33" t="n">
        <v>12</v>
      </c>
      <c r="F75" s="34" t="inlineStr">
        <is>
          <t xml:space="preserve">4 года </t>
        </is>
      </c>
      <c r="G75" s="138" t="n">
        <v>2106909803</v>
      </c>
      <c r="H75" s="138" t="n">
        <v>2936001013000000</v>
      </c>
      <c r="I75" s="138" t="n">
        <v>733739047359</v>
      </c>
      <c r="J75" s="36" t="inlineStr">
        <is>
          <t>в наличии</t>
        </is>
      </c>
      <c r="K75" s="6" t="n"/>
      <c r="L75" s="139" t="n"/>
      <c r="M75" s="140">
        <f>L75*D75</f>
        <v/>
      </c>
      <c r="N75" s="7" t="n"/>
    </row>
    <row r="76" ht="15.6" customFormat="1" customHeight="1" s="7">
      <c r="A76" s="5" t="n">
        <v>73</v>
      </c>
      <c r="B76" s="16" t="inlineStr">
        <is>
          <t>N F</t>
        </is>
      </c>
      <c r="C76" s="143" t="inlineStr">
        <is>
          <t>Пептиды Коллагена в виде порошка, 227 г (8 унций)</t>
        </is>
      </c>
      <c r="D76" s="50" t="n">
        <v>281000</v>
      </c>
      <c r="E76" s="33" t="n">
        <v>12</v>
      </c>
      <c r="F76" s="34" t="inlineStr">
        <is>
          <t xml:space="preserve">5 года </t>
        </is>
      </c>
      <c r="G76" s="138" t="n">
        <v>2106909803</v>
      </c>
      <c r="H76" s="138" t="n">
        <v>2936001013000000</v>
      </c>
      <c r="I76" s="138" t="n">
        <v>733739030863</v>
      </c>
      <c r="J76" s="36" t="inlineStr">
        <is>
          <t>в наличии</t>
        </is>
      </c>
      <c r="K76" s="6" t="n"/>
      <c r="L76" s="139" t="n"/>
      <c r="M76" s="140">
        <f>L76*D76</f>
        <v/>
      </c>
    </row>
    <row r="77" ht="15.6" customFormat="1" customHeight="1" s="7">
      <c r="A77" s="5" t="n">
        <v>74</v>
      </c>
      <c r="B77" s="16" t="inlineStr">
        <is>
          <t>N F</t>
        </is>
      </c>
      <c r="C77" s="143" t="inlineStr">
        <is>
          <t>UC-II  добавка для суставов с неденатурированным коллагеном типа II, 60 капс</t>
        </is>
      </c>
      <c r="D77" s="50" t="n">
        <v>389000</v>
      </c>
      <c r="E77" s="33" t="n">
        <v>12</v>
      </c>
      <c r="F77" s="34" t="inlineStr">
        <is>
          <t xml:space="preserve">6 года </t>
        </is>
      </c>
      <c r="G77" s="138" t="n">
        <v>2106909803</v>
      </c>
      <c r="H77" s="138" t="n">
        <v>2936001013000000</v>
      </c>
      <c r="I77" s="138" t="n">
        <v>733739031341</v>
      </c>
      <c r="J77" s="36" t="inlineStr">
        <is>
          <t>в наличии</t>
        </is>
      </c>
      <c r="K77" s="39" t="n"/>
      <c r="L77" s="139" t="n"/>
      <c r="M77" s="140">
        <f>L77*D77</f>
        <v/>
      </c>
      <c r="N77" s="11" t="n"/>
    </row>
    <row r="78" ht="15.6" customFormat="1" customHeight="1" s="7">
      <c r="A78" s="5" t="n">
        <v>75</v>
      </c>
      <c r="B78" s="16" t="inlineStr">
        <is>
          <t>N F</t>
        </is>
      </c>
      <c r="C78" s="143" t="inlineStr">
        <is>
          <t>UC-II  добавка для суставов с неденатурированным коллагеном типа II, 120 капс</t>
        </is>
      </c>
      <c r="D78" s="50" t="n">
        <v>725000</v>
      </c>
      <c r="E78" s="33" t="n">
        <v>12</v>
      </c>
      <c r="F78" s="34" t="inlineStr">
        <is>
          <t xml:space="preserve">6 года </t>
        </is>
      </c>
      <c r="G78" s="138" t="n">
        <v>2106909803</v>
      </c>
      <c r="H78" s="138" t="n">
        <v>2936001013000000</v>
      </c>
      <c r="I78" s="138" t="n">
        <v>0</v>
      </c>
      <c r="J78" s="36" t="inlineStr">
        <is>
          <t>в наличии</t>
        </is>
      </c>
      <c r="K78" s="39" t="n"/>
      <c r="L78" s="139" t="n"/>
      <c r="M78" s="140" t="n"/>
      <c r="N78" s="11" t="n"/>
    </row>
    <row r="79" ht="15.6" customFormat="1" customHeight="1" s="7">
      <c r="A79" s="5" t="n">
        <v>76</v>
      </c>
      <c r="B79" s="16" t="inlineStr">
        <is>
          <t>N F</t>
        </is>
      </c>
      <c r="C79" s="143" t="inlineStr">
        <is>
          <t>Альфа-липоевая кислота, 100 мг, 60 капсул</t>
        </is>
      </c>
      <c r="D79" s="50" t="n">
        <v>134000</v>
      </c>
      <c r="E79" s="33" t="n">
        <v>12</v>
      </c>
      <c r="F79" s="34" t="inlineStr">
        <is>
          <t xml:space="preserve">3 года </t>
        </is>
      </c>
      <c r="G79" s="138" t="n">
        <v>2106909803</v>
      </c>
      <c r="H79" s="138" t="n">
        <v>2936001013000000</v>
      </c>
      <c r="I79" s="138" t="n">
        <v>733739030405</v>
      </c>
      <c r="J79" s="36" t="inlineStr">
        <is>
          <t>в наличии</t>
        </is>
      </c>
      <c r="K79" s="39" t="n"/>
      <c r="L79" s="139" t="n"/>
      <c r="M79" s="140">
        <f>L79*D79</f>
        <v/>
      </c>
      <c r="N79" s="11" t="n"/>
    </row>
    <row r="80" ht="15.6" customFormat="1" customHeight="1" s="7">
      <c r="A80" s="5" t="n">
        <v>77</v>
      </c>
      <c r="B80" s="16" t="inlineStr">
        <is>
          <t>N F</t>
        </is>
      </c>
      <c r="C80" s="143" t="inlineStr">
        <is>
          <t>Альфа-липоевая кислота, 250 мг, 60 капсул</t>
        </is>
      </c>
      <c r="D80" s="50" t="n">
        <v>194000</v>
      </c>
      <c r="E80" s="33" t="n">
        <v>12</v>
      </c>
      <c r="F80" s="34" t="inlineStr">
        <is>
          <t xml:space="preserve">3 года </t>
        </is>
      </c>
      <c r="G80" s="138" t="n">
        <v>2106909803</v>
      </c>
      <c r="H80" s="138" t="n">
        <v>2936001013000000</v>
      </c>
      <c r="I80" s="138" t="n">
        <v>733739030429</v>
      </c>
      <c r="J80" s="36" t="inlineStr">
        <is>
          <t>в наличии</t>
        </is>
      </c>
      <c r="K80" s="39" t="n"/>
      <c r="L80" s="139" t="n"/>
      <c r="M80" s="140">
        <f>L80*D80</f>
        <v/>
      </c>
      <c r="N80" s="11" t="n"/>
    </row>
    <row r="81" ht="15.6" customFormat="1" customHeight="1" s="7">
      <c r="A81" s="5" t="n">
        <v>78</v>
      </c>
      <c r="B81" s="16" t="inlineStr">
        <is>
          <t>N F</t>
        </is>
      </c>
      <c r="C81" s="145" t="inlineStr">
        <is>
          <t>Альфа-липоевая кислота, 600 мг, 60 капсул</t>
        </is>
      </c>
      <c r="D81" s="50" t="n">
        <v>308000</v>
      </c>
      <c r="E81" s="33" t="n">
        <v>12</v>
      </c>
      <c r="F81" s="34" t="inlineStr">
        <is>
          <t xml:space="preserve">3 года </t>
        </is>
      </c>
      <c r="G81" s="138" t="n">
        <v>2106909803</v>
      </c>
      <c r="H81" s="138" t="n">
        <v>2936001013000000</v>
      </c>
      <c r="I81" s="138" t="n">
        <v>733739030467</v>
      </c>
      <c r="J81" s="36" t="inlineStr">
        <is>
          <t>в наличии</t>
        </is>
      </c>
      <c r="K81" s="39" t="n"/>
      <c r="L81" s="139" t="n"/>
      <c r="M81" s="140">
        <f>L81*D81</f>
        <v/>
      </c>
      <c r="N81" s="11" t="n"/>
    </row>
    <row r="82" ht="15.6" customFormat="1" customHeight="1" s="11">
      <c r="A82" s="5" t="n">
        <v>79</v>
      </c>
      <c r="B82" s="16" t="inlineStr">
        <is>
          <t>N F</t>
        </is>
      </c>
      <c r="C82" s="143" t="inlineStr">
        <is>
          <t>Фолиевая кислота 800 мкг 250 таблеток</t>
        </is>
      </c>
      <c r="D82" s="50" t="n">
        <v>101000</v>
      </c>
      <c r="E82" s="33" t="n">
        <v>12</v>
      </c>
      <c r="F82" s="34" t="inlineStr">
        <is>
          <t xml:space="preserve">3 года </t>
        </is>
      </c>
      <c r="G82" s="138" t="n">
        <v>2106909803</v>
      </c>
      <c r="H82" s="138" t="n">
        <v>2936001013000000</v>
      </c>
      <c r="I82" s="138" t="n">
        <v>733739004765</v>
      </c>
      <c r="J82" s="36" t="inlineStr">
        <is>
          <t>в наличии</t>
        </is>
      </c>
      <c r="K82" s="6" t="n"/>
      <c r="L82" s="139" t="n"/>
      <c r="M82" s="140">
        <f>L82*D82</f>
        <v/>
      </c>
      <c r="N82" s="7" t="n"/>
    </row>
    <row r="83" ht="15.6" customFormat="1" customHeight="1" s="11">
      <c r="A83" s="5" t="n">
        <v>80</v>
      </c>
      <c r="B83" s="16" t="inlineStr">
        <is>
          <t>N F</t>
        </is>
      </c>
      <c r="C83" s="144" t="inlineStr">
        <is>
          <t>Метилфолат (Витамин B-9) 1000 мкг 90 таблеток</t>
        </is>
      </c>
      <c r="D83" s="50" t="n">
        <v>222000</v>
      </c>
      <c r="E83" s="33" t="n">
        <v>12</v>
      </c>
      <c r="F83" s="34" t="inlineStr">
        <is>
          <t xml:space="preserve">2 года </t>
        </is>
      </c>
      <c r="G83" s="138" t="n">
        <v>2106909803</v>
      </c>
      <c r="H83" s="138" t="n">
        <v>2936001013000000</v>
      </c>
      <c r="I83" s="138" t="n">
        <v>733739004918</v>
      </c>
      <c r="J83" s="36" t="inlineStr">
        <is>
          <t>в наличии</t>
        </is>
      </c>
      <c r="K83" s="6" t="n"/>
      <c r="L83" s="139" t="n"/>
      <c r="M83" s="140">
        <f>L83*D83</f>
        <v/>
      </c>
      <c r="N83" s="7" t="n"/>
    </row>
    <row r="84" ht="15.6" customFormat="1" customHeight="1" s="7">
      <c r="A84" s="5" t="n">
        <v>81</v>
      </c>
      <c r="B84" s="16" t="inlineStr">
        <is>
          <t>N F</t>
        </is>
      </c>
      <c r="C84" s="137" t="inlineStr">
        <is>
          <t>5-гидрокситриптофан  50 мг, 90 растительных капсул</t>
        </is>
      </c>
      <c r="D84" s="50" t="n">
        <v>169000</v>
      </c>
      <c r="E84" s="33" t="n">
        <v>12</v>
      </c>
      <c r="F84" s="34" t="inlineStr">
        <is>
          <t xml:space="preserve">3 года </t>
        </is>
      </c>
      <c r="G84" s="138" t="n">
        <v>2106909803</v>
      </c>
      <c r="H84" s="138" t="n">
        <v>2936001013000000</v>
      </c>
      <c r="I84" s="138" t="n">
        <v>733739000996</v>
      </c>
      <c r="J84" s="36" t="inlineStr">
        <is>
          <t>в наличии</t>
        </is>
      </c>
      <c r="K84" s="39" t="n"/>
      <c r="L84" s="139" t="n"/>
      <c r="M84" s="140">
        <f>L84*D84</f>
        <v/>
      </c>
      <c r="N84" s="11" t="n"/>
    </row>
    <row r="85" ht="15.6" customFormat="1" customHeight="1" s="7">
      <c r="A85" s="5" t="n">
        <v>82</v>
      </c>
      <c r="B85" s="16" t="inlineStr">
        <is>
          <t>N F</t>
        </is>
      </c>
      <c r="C85" s="144" t="inlineStr">
        <is>
          <t>Гинкго билоба  120 мг 50  капсул</t>
        </is>
      </c>
      <c r="D85" s="50" t="n">
        <v>121000</v>
      </c>
      <c r="E85" s="33" t="n">
        <v>12</v>
      </c>
      <c r="F85" s="34" t="inlineStr">
        <is>
          <t xml:space="preserve">3 года </t>
        </is>
      </c>
      <c r="G85" s="138" t="n">
        <v>2106909803</v>
      </c>
      <c r="H85" s="138" t="n">
        <v>2936001013000000</v>
      </c>
      <c r="I85" s="138" t="n">
        <v>733739046826</v>
      </c>
      <c r="J85" s="36" t="inlineStr">
        <is>
          <t>в наличии</t>
        </is>
      </c>
      <c r="K85" s="6" t="n"/>
      <c r="L85" s="139" t="n"/>
      <c r="M85" s="140">
        <f>L85*D85</f>
        <v/>
      </c>
    </row>
    <row r="86" ht="15.6" customFormat="1" customHeight="1" s="11">
      <c r="A86" s="5" t="n">
        <v>83</v>
      </c>
      <c r="B86" s="16" t="inlineStr">
        <is>
          <t>N F</t>
        </is>
      </c>
      <c r="C86" s="143" t="inlineStr">
        <is>
          <t>Берберин и глюкоза, 90 капсул</t>
        </is>
      </c>
      <c r="D86" s="50" t="n">
        <v>478000</v>
      </c>
      <c r="E86" s="33" t="n">
        <v>12</v>
      </c>
      <c r="F86" s="34" t="inlineStr">
        <is>
          <t xml:space="preserve">2 года </t>
        </is>
      </c>
      <c r="G86" s="138" t="n">
        <v>2106909803</v>
      </c>
      <c r="H86" s="138" t="n">
        <v>2936001013000000</v>
      </c>
      <c r="I86" s="138" t="n">
        <v>733739014184</v>
      </c>
      <c r="J86" s="36" t="inlineStr">
        <is>
          <t>в наличии</t>
        </is>
      </c>
      <c r="K86" s="6" t="n"/>
      <c r="L86" s="139" t="n"/>
      <c r="M86" s="140">
        <f>L86*D86</f>
        <v/>
      </c>
      <c r="N86" s="7" t="n"/>
    </row>
    <row r="87" ht="15.6" customFormat="1" customHeight="1" s="11">
      <c r="A87" s="5" t="n">
        <v>84</v>
      </c>
      <c r="B87" s="16" t="inlineStr">
        <is>
          <t>N F</t>
        </is>
      </c>
      <c r="C87" s="129" t="inlineStr">
        <is>
          <t>Эхинацея 400 мг 100 капсул</t>
        </is>
      </c>
      <c r="D87" s="50" t="n">
        <v>140000</v>
      </c>
      <c r="E87" s="33" t="n">
        <v>12</v>
      </c>
      <c r="F87" s="34" t="inlineStr">
        <is>
          <t xml:space="preserve">2 года </t>
        </is>
      </c>
      <c r="G87" s="138" t="n">
        <v>2106909803</v>
      </c>
      <c r="H87" s="138" t="n">
        <v>2936001013000000</v>
      </c>
      <c r="I87" s="138" t="n">
        <v>733739046604</v>
      </c>
      <c r="J87" s="36" t="inlineStr">
        <is>
          <t>в наличии</t>
        </is>
      </c>
      <c r="K87" s="6" t="n"/>
      <c r="L87" s="139" t="n"/>
      <c r="M87" s="140">
        <f>L87*D87</f>
        <v/>
      </c>
      <c r="N87" s="7" t="n"/>
    </row>
    <row r="88" ht="15.6" customFormat="1" customHeight="1" s="7">
      <c r="A88" s="5" t="n">
        <v>85</v>
      </c>
      <c r="B88" s="16" t="inlineStr">
        <is>
          <t>N F</t>
        </is>
      </c>
      <c r="C88" s="143" t="inlineStr">
        <is>
          <t>ГАМК  (гамма-аминомасляная кислота)  с витамином B6 500 мг 100 капсул</t>
        </is>
      </c>
      <c r="D88" s="50" t="n">
        <v>152000</v>
      </c>
      <c r="E88" s="33" t="n">
        <v>12</v>
      </c>
      <c r="F88" s="34" t="inlineStr">
        <is>
          <t xml:space="preserve">5 года </t>
        </is>
      </c>
      <c r="G88" s="138" t="n">
        <v>2106909803</v>
      </c>
      <c r="H88" s="138" t="n">
        <v>2936001013000000</v>
      </c>
      <c r="I88" s="138" t="n">
        <v>733739000873</v>
      </c>
      <c r="J88" s="36" t="inlineStr">
        <is>
          <t>в наличии</t>
        </is>
      </c>
      <c r="K88" s="6" t="n"/>
      <c r="L88" s="139" t="n"/>
      <c r="M88" s="140">
        <f>L88*D88</f>
        <v/>
      </c>
    </row>
    <row r="89" ht="15.6" customFormat="1" customHeight="1" s="7">
      <c r="A89" s="5" t="n">
        <v>86</v>
      </c>
      <c r="B89" s="16" t="inlineStr">
        <is>
          <t>N F</t>
        </is>
      </c>
      <c r="C89" s="144" t="inlineStr">
        <is>
          <t>ПАБК  (пара-аминобензойная кислота)  500 мг  100 капсул</t>
        </is>
      </c>
      <c r="D89" s="50" t="n">
        <v>166000</v>
      </c>
      <c r="E89" s="33" t="n">
        <v>12</v>
      </c>
      <c r="F89" s="34" t="inlineStr">
        <is>
          <t xml:space="preserve">3 года </t>
        </is>
      </c>
      <c r="G89" s="138" t="n">
        <v>2106909803</v>
      </c>
      <c r="H89" s="138" t="n">
        <v>2936001013000000</v>
      </c>
      <c r="I89" s="138" t="n">
        <v>733739004857</v>
      </c>
      <c r="J89" s="36" t="inlineStr">
        <is>
          <t>в наличии</t>
        </is>
      </c>
      <c r="K89" s="6" t="n"/>
      <c r="L89" s="139" t="n"/>
      <c r="M89" s="140">
        <f>L89*D89</f>
        <v/>
      </c>
    </row>
    <row r="90" ht="15.6" customFormat="1" customHeight="1" s="7">
      <c r="A90" s="5" t="n">
        <v>87</v>
      </c>
      <c r="B90" s="16" t="inlineStr">
        <is>
          <t>N F</t>
        </is>
      </c>
      <c r="C90" s="144" t="inlineStr">
        <is>
          <t>Келп (морские водоросли) 250 растительных капсул</t>
        </is>
      </c>
      <c r="D90" s="50" t="n">
        <v>208000</v>
      </c>
      <c r="E90" s="33" t="n">
        <v>12</v>
      </c>
      <c r="F90" s="34" t="inlineStr">
        <is>
          <t xml:space="preserve">3 года </t>
        </is>
      </c>
      <c r="G90" s="138" t="n">
        <v>2106909803</v>
      </c>
      <c r="H90" s="138" t="n">
        <v>2936001013000000</v>
      </c>
      <c r="I90" s="138" t="n">
        <v>733739026750</v>
      </c>
      <c r="J90" s="36" t="inlineStr">
        <is>
          <t>в наличии</t>
        </is>
      </c>
      <c r="K90" s="6" t="n"/>
      <c r="L90" s="139" t="n"/>
      <c r="M90" s="140">
        <f>L90*D90</f>
        <v/>
      </c>
    </row>
    <row r="91" ht="15.6" customFormat="1" customHeight="1" s="7">
      <c r="A91" s="5" t="n">
        <v>88</v>
      </c>
      <c r="B91" s="16" t="inlineStr">
        <is>
          <t>N F</t>
        </is>
      </c>
      <c r="C91" s="143" t="inlineStr">
        <is>
          <t>Жидкий хлорофилл, аромат натуральной мяты  473 мл</t>
        </is>
      </c>
      <c r="D91" s="50" t="n">
        <v>373000</v>
      </c>
      <c r="E91" s="33" t="n">
        <v>12</v>
      </c>
      <c r="F91" s="34" t="inlineStr">
        <is>
          <t xml:space="preserve">4 года </t>
        </is>
      </c>
      <c r="G91" s="138" t="n">
        <v>2106909803</v>
      </c>
      <c r="H91" s="138" t="n">
        <v>2936001013000000</v>
      </c>
      <c r="I91" s="138" t="n">
        <v>733739026446</v>
      </c>
      <c r="J91" s="36" t="inlineStr">
        <is>
          <t>в наличии</t>
        </is>
      </c>
      <c r="K91" s="39" t="n"/>
      <c r="L91" s="139" t="n"/>
      <c r="M91" s="140">
        <f>L91*D91</f>
        <v/>
      </c>
      <c r="N91" s="11" t="n"/>
    </row>
    <row r="92" ht="15.6" customFormat="1" customHeight="1" s="7">
      <c r="A92" s="5" t="n">
        <v>89</v>
      </c>
      <c r="B92" s="16" t="inlineStr">
        <is>
          <t>N F</t>
        </is>
      </c>
      <c r="C92" s="143" t="inlineStr">
        <is>
          <t>Детский витамины, со вкусом ягодного лимонада,  120 таблеток</t>
        </is>
      </c>
      <c r="D92" s="50" t="n">
        <v>224000</v>
      </c>
      <c r="E92" s="33" t="n">
        <v>12</v>
      </c>
      <c r="F92" s="34" t="inlineStr">
        <is>
          <t xml:space="preserve">2 года </t>
        </is>
      </c>
      <c r="G92" s="138" t="n">
        <v>2106909803</v>
      </c>
      <c r="H92" s="138" t="n">
        <v>2936001013000000</v>
      </c>
      <c r="I92" s="138" t="n">
        <v>733739038821</v>
      </c>
      <c r="J92" s="36" t="inlineStr">
        <is>
          <t>в наличии</t>
        </is>
      </c>
      <c r="K92" s="39" t="n"/>
      <c r="L92" s="139" t="n"/>
      <c r="M92" s="140">
        <f>L92*D92</f>
        <v/>
      </c>
      <c r="N92" s="11" t="n"/>
    </row>
    <row r="93" ht="15.6" customFormat="1" customHeight="1" s="7">
      <c r="A93" s="5" t="n">
        <v>90</v>
      </c>
      <c r="B93" s="16" t="inlineStr">
        <is>
          <t>N F</t>
        </is>
      </c>
      <c r="C93" s="143" t="inlineStr">
        <is>
          <t>Детский кальций  100 жевательных таблеток</t>
        </is>
      </c>
      <c r="D93" s="50" t="n">
        <v>238000</v>
      </c>
      <c r="E93" s="33" t="n">
        <v>12</v>
      </c>
      <c r="F93" s="34" t="inlineStr">
        <is>
          <t xml:space="preserve">3 года </t>
        </is>
      </c>
      <c r="G93" s="138" t="n">
        <v>2106909803</v>
      </c>
      <c r="H93" s="138" t="n">
        <v>2936001013000000</v>
      </c>
      <c r="I93" s="138" t="n">
        <v>733739012333</v>
      </c>
      <c r="J93" s="36" t="inlineStr">
        <is>
          <t>в наличии</t>
        </is>
      </c>
      <c r="K93" s="39" t="n"/>
      <c r="L93" s="139" t="n"/>
      <c r="M93" s="140">
        <f>L93*D93</f>
        <v/>
      </c>
      <c r="N93" s="11" t="n"/>
    </row>
    <row r="94" ht="15.6" customFormat="1" customHeight="1" s="7">
      <c r="A94" s="5" t="n">
        <v>91</v>
      </c>
      <c r="B94" s="16" t="inlineStr">
        <is>
          <t>N F</t>
        </is>
      </c>
      <c r="C94" s="143" t="inlineStr">
        <is>
          <t>Детский Жидкая эхинацея, апельсин,  59 мл</t>
        </is>
      </c>
      <c r="D94" s="50" t="n">
        <v>185000</v>
      </c>
      <c r="E94" s="33" t="n"/>
      <c r="F94" s="34" t="n"/>
      <c r="G94" s="138" t="n">
        <v>2106909803</v>
      </c>
      <c r="H94" s="138" t="n">
        <v>2936001013000000</v>
      </c>
      <c r="I94" s="138" t="n"/>
      <c r="J94" s="36" t="inlineStr">
        <is>
          <t>в наличии</t>
        </is>
      </c>
      <c r="K94" s="39" t="n"/>
      <c r="L94" s="139" t="n"/>
      <c r="M94" s="140">
        <f>L94*D94</f>
        <v/>
      </c>
      <c r="N94" s="11" t="n"/>
    </row>
    <row r="95" ht="15.6" customFormat="1" customHeight="1" s="7">
      <c r="A95" s="5" t="n">
        <v>92</v>
      </c>
      <c r="B95" s="16" t="inlineStr">
        <is>
          <t>N F</t>
        </is>
      </c>
      <c r="C95" s="143" t="inlineStr">
        <is>
          <t>Детский сироп Бузина жидкая,  237 мл</t>
        </is>
      </c>
      <c r="D95" s="50" t="n">
        <v>256000</v>
      </c>
      <c r="E95" s="33" t="n">
        <v>12</v>
      </c>
      <c r="F95" s="34" t="inlineStr">
        <is>
          <t xml:space="preserve">3 года </t>
        </is>
      </c>
      <c r="G95" s="138" t="n">
        <v>2106909803</v>
      </c>
      <c r="H95" s="138" t="n">
        <v>2936001013000000</v>
      </c>
      <c r="I95" s="138" t="n">
        <v>733739048516</v>
      </c>
      <c r="J95" s="36" t="inlineStr">
        <is>
          <t>в наличии</t>
        </is>
      </c>
      <c r="K95" s="39" t="n"/>
      <c r="L95" s="139" t="n"/>
      <c r="M95" s="140">
        <f>L95*D95</f>
        <v/>
      </c>
      <c r="N95" s="11" t="n"/>
    </row>
    <row r="96" ht="15.6" customFormat="1" customHeight="1" s="7">
      <c r="A96" s="5" t="n">
        <v>93</v>
      </c>
      <c r="B96" s="16" t="inlineStr">
        <is>
          <t>N F</t>
        </is>
      </c>
      <c r="C96" s="143" t="inlineStr">
        <is>
          <t>Шелуха семян подорожника (Psyllium Husk)  340 гр</t>
        </is>
      </c>
      <c r="D96" s="50" t="n">
        <v>211000</v>
      </c>
      <c r="E96" s="33" t="n">
        <v>12</v>
      </c>
      <c r="F96" s="34" t="inlineStr">
        <is>
          <t xml:space="preserve">3 года </t>
        </is>
      </c>
      <c r="G96" s="138" t="n">
        <v>2106909803</v>
      </c>
      <c r="H96" s="138" t="n">
        <v>2936001013000000</v>
      </c>
      <c r="I96" s="138" t="n">
        <v>733739059758</v>
      </c>
      <c r="J96" s="36" t="inlineStr">
        <is>
          <t>в наличии</t>
        </is>
      </c>
      <c r="K96" s="39" t="n"/>
      <c r="L96" s="139" t="n"/>
      <c r="M96" s="140">
        <f>L96*D96</f>
        <v/>
      </c>
      <c r="N96" s="11" t="n"/>
    </row>
    <row r="97" ht="15.6" customFormat="1" customHeight="1" s="7">
      <c r="A97" s="5" t="n">
        <v>94</v>
      </c>
      <c r="B97" s="16" t="inlineStr">
        <is>
          <t>N F</t>
        </is>
      </c>
      <c r="C97" s="143" t="inlineStr">
        <is>
          <t>Шелуха семян подорожника (Psyllium Husk)  680 гр</t>
        </is>
      </c>
      <c r="D97" s="50" t="n">
        <v>356000</v>
      </c>
      <c r="E97" s="33" t="n">
        <v>8</v>
      </c>
      <c r="F97" s="34" t="inlineStr">
        <is>
          <t xml:space="preserve">3 года </t>
        </is>
      </c>
      <c r="G97" s="138" t="n">
        <v>2106909803</v>
      </c>
      <c r="H97" s="138" t="n">
        <v>2936001013000000</v>
      </c>
      <c r="I97" s="138" t="n">
        <v>733739059789</v>
      </c>
      <c r="J97" s="36" t="inlineStr">
        <is>
          <t>в наличии</t>
        </is>
      </c>
      <c r="K97" s="39" t="n"/>
      <c r="L97" s="139" t="n"/>
      <c r="M97" s="140">
        <f>L97*D97</f>
        <v/>
      </c>
      <c r="N97" s="11" t="n"/>
    </row>
    <row r="98" ht="15.6" customFormat="1" customHeight="1" s="7">
      <c r="A98" s="5" t="n">
        <v>95</v>
      </c>
      <c r="B98" s="16" t="inlineStr">
        <is>
          <t>N F</t>
        </is>
      </c>
      <c r="C98" s="143" t="inlineStr">
        <is>
          <t>Эфирные масла, розмарин,  30 мл</t>
        </is>
      </c>
      <c r="D98" s="50" t="n">
        <v>148000</v>
      </c>
      <c r="E98" s="33" t="n">
        <v>24</v>
      </c>
      <c r="F98" s="34" t="inlineStr">
        <is>
          <t xml:space="preserve">4 года </t>
        </is>
      </c>
      <c r="G98" s="138" t="n">
        <v>2106909803</v>
      </c>
      <c r="H98" s="138" t="n">
        <v>2936001013000000</v>
      </c>
      <c r="I98" s="138" t="n">
        <v>733739076007</v>
      </c>
      <c r="J98" s="36" t="inlineStr">
        <is>
          <t>в наличии</t>
        </is>
      </c>
      <c r="K98" s="39" t="n"/>
      <c r="L98" s="139" t="n"/>
      <c r="M98" s="140">
        <f>L98*D98</f>
        <v/>
      </c>
      <c r="N98" s="11" t="n"/>
    </row>
    <row r="99" ht="15.6" customFormat="1" customHeight="1" s="7">
      <c r="A99" s="5" t="n">
        <v>96</v>
      </c>
      <c r="B99" s="16" t="inlineStr">
        <is>
          <t>N F</t>
        </is>
      </c>
      <c r="C99" s="143" t="inlineStr">
        <is>
          <t>Эфирные масла, чайное дерево,  30 мл</t>
        </is>
      </c>
      <c r="D99" s="50" t="n">
        <v>134000</v>
      </c>
      <c r="E99" s="33" t="n">
        <v>24</v>
      </c>
      <c r="F99" s="34" t="inlineStr">
        <is>
          <t xml:space="preserve">4 года </t>
        </is>
      </c>
      <c r="G99" s="138" t="n">
        <v>2106909803</v>
      </c>
      <c r="H99" s="138" t="n">
        <v>2936001013000000</v>
      </c>
      <c r="I99" s="138" t="n">
        <v>733739076250</v>
      </c>
      <c r="J99" s="36" t="inlineStr">
        <is>
          <t>в наличии</t>
        </is>
      </c>
      <c r="K99" s="39" t="n"/>
      <c r="L99" s="139" t="n"/>
      <c r="M99" s="140">
        <f>L99*D99</f>
        <v/>
      </c>
      <c r="N99" s="11" t="n"/>
    </row>
    <row r="100" ht="15.6" customFormat="1" customHeight="1" s="7">
      <c r="A100" s="5" t="n">
        <v>97</v>
      </c>
      <c r="B100" s="16" t="inlineStr">
        <is>
          <t>N F</t>
        </is>
      </c>
      <c r="C100" s="143" t="inlineStr">
        <is>
          <t>Эфирные масла, эвкалипт лимонный,  30 мл</t>
        </is>
      </c>
      <c r="D100" s="50" t="n">
        <v>81000</v>
      </c>
      <c r="E100" s="33" t="n">
        <v>24</v>
      </c>
      <c r="F100" s="34" t="inlineStr">
        <is>
          <t xml:space="preserve">4 года </t>
        </is>
      </c>
      <c r="G100" s="138" t="n">
        <v>2106909803</v>
      </c>
      <c r="H100" s="138" t="n">
        <v>2936001013000000</v>
      </c>
      <c r="I100" s="138" t="n">
        <v>733739074102</v>
      </c>
      <c r="J100" s="36" t="inlineStr">
        <is>
          <t>в наличии</t>
        </is>
      </c>
      <c r="K100" s="39" t="n"/>
      <c r="L100" s="139" t="n"/>
      <c r="M100" s="140">
        <f>L100*D100</f>
        <v/>
      </c>
      <c r="N100" s="11" t="n"/>
    </row>
    <row r="101" ht="19.2" customFormat="1" customHeight="1" s="25">
      <c r="A101" s="20" t="n"/>
      <c r="B101" s="53" t="n"/>
      <c r="C101" s="63" t="inlineStr">
        <is>
          <t>Витамины БАД  CALIFORNIA GOLD Nutrition  (США)</t>
        </is>
      </c>
      <c r="D101" s="54" t="n"/>
      <c r="E101" s="55" t="n"/>
      <c r="F101" s="56" t="n"/>
      <c r="G101" s="56" t="n"/>
      <c r="H101" s="56" t="n"/>
      <c r="I101" s="56" t="n"/>
      <c r="J101" s="55" t="n"/>
      <c r="K101" s="57" t="n"/>
      <c r="L101" s="146" t="n"/>
      <c r="M101" s="146" t="n"/>
    </row>
    <row r="102" ht="15.6" customFormat="1" customHeight="1" s="7">
      <c r="A102" s="5" t="n">
        <v>108</v>
      </c>
      <c r="B102" s="53" t="inlineStr">
        <is>
          <t>CGN</t>
        </is>
      </c>
      <c r="C102" s="143" t="inlineStr">
        <is>
          <t>Витамин C  1000 мг,  60 растительных капсул</t>
        </is>
      </c>
      <c r="D102" s="50" t="n">
        <v>107000</v>
      </c>
      <c r="E102" s="33" t="n">
        <v>48</v>
      </c>
      <c r="F102" s="34" t="inlineStr">
        <is>
          <t xml:space="preserve">3 года </t>
        </is>
      </c>
      <c r="G102" s="138" t="n">
        <v>2106909803</v>
      </c>
      <c r="H102" s="138" t="n">
        <v>2936001013000000</v>
      </c>
      <c r="I102" s="138" t="n">
        <v>898220009312</v>
      </c>
      <c r="J102" s="36" t="inlineStr">
        <is>
          <t>в наличии</t>
        </is>
      </c>
      <c r="K102" s="39" t="n"/>
      <c r="L102" s="139" t="n"/>
      <c r="M102" s="140">
        <f>L102*D102</f>
        <v/>
      </c>
      <c r="N102" s="11" t="n"/>
    </row>
    <row r="103" ht="15.6" customFormat="1" customHeight="1" s="7">
      <c r="A103" s="5" t="n">
        <v>109</v>
      </c>
      <c r="B103" s="53" t="inlineStr">
        <is>
          <t>CGN</t>
        </is>
      </c>
      <c r="C103" s="143" t="inlineStr">
        <is>
          <t>Витамин Д-3 2000  50 мкг, 90 капсул из рыбьего желатина</t>
        </is>
      </c>
      <c r="D103" s="50" t="n">
        <v>87000</v>
      </c>
      <c r="E103" s="33" t="n"/>
      <c r="F103" s="34" t="inlineStr">
        <is>
          <t xml:space="preserve">2 года </t>
        </is>
      </c>
      <c r="G103" s="138" t="n">
        <v>2106909803</v>
      </c>
      <c r="H103" s="138" t="n">
        <v>2936001013000000</v>
      </c>
      <c r="I103" s="138" t="n"/>
      <c r="J103" s="36" t="inlineStr">
        <is>
          <t>в наличии</t>
        </is>
      </c>
      <c r="K103" s="39" t="n"/>
      <c r="L103" s="139" t="n"/>
      <c r="M103" s="140" t="n"/>
      <c r="N103" s="11" t="n"/>
    </row>
    <row r="104" ht="15.6" customFormat="1" customHeight="1" s="7">
      <c r="A104" s="5" t="n">
        <v>110</v>
      </c>
      <c r="B104" s="53" t="inlineStr">
        <is>
          <t>CGN</t>
        </is>
      </c>
      <c r="C104" s="143" t="inlineStr">
        <is>
          <t>Витамин Д-3 5000  125 мкг, 90 капсул из рыбьего желатина</t>
        </is>
      </c>
      <c r="D104" s="50" t="n">
        <v>99000</v>
      </c>
      <c r="E104" s="33" t="n">
        <v>162</v>
      </c>
      <c r="F104" s="34" t="inlineStr">
        <is>
          <t xml:space="preserve">3 года </t>
        </is>
      </c>
      <c r="G104" s="138" t="n">
        <v>2106909803</v>
      </c>
      <c r="H104" s="138" t="n">
        <v>2936001013000000</v>
      </c>
      <c r="I104" s="138" t="n">
        <v>898220010653</v>
      </c>
      <c r="J104" s="36" t="inlineStr">
        <is>
          <t>в наличии</t>
        </is>
      </c>
      <c r="K104" s="39" t="n"/>
      <c r="L104" s="139" t="n"/>
      <c r="M104" s="140">
        <f>L104*D104</f>
        <v/>
      </c>
      <c r="N104" s="11" t="n"/>
    </row>
    <row r="105" ht="15.6" customFormat="1" customHeight="1" s="7">
      <c r="A105" s="5" t="n">
        <v>111</v>
      </c>
      <c r="B105" s="53" t="inlineStr">
        <is>
          <t>CGN</t>
        </is>
      </c>
      <c r="C105" s="143" t="inlineStr">
        <is>
          <t>Витамин Д-3 для детей в каплях, 10 мкг (400 МЕ),  10 мл</t>
        </is>
      </c>
      <c r="D105" s="50" t="n">
        <v>118000</v>
      </c>
      <c r="E105" s="33" t="n">
        <v>96</v>
      </c>
      <c r="F105" s="34" t="inlineStr">
        <is>
          <t xml:space="preserve">3 года </t>
        </is>
      </c>
      <c r="G105" s="138" t="n">
        <v>2106909803</v>
      </c>
      <c r="H105" s="138" t="n">
        <v>2936001013000000</v>
      </c>
      <c r="I105" s="138" t="n">
        <v>898220010349</v>
      </c>
      <c r="J105" s="36" t="inlineStr">
        <is>
          <t>в наличии</t>
        </is>
      </c>
      <c r="K105" s="39" t="n"/>
      <c r="L105" s="139" t="n"/>
      <c r="M105" s="140" t="n"/>
      <c r="N105" s="11" t="n"/>
    </row>
    <row r="106" ht="15.6" customFormat="1" customHeight="1" s="7">
      <c r="A106" s="5" t="n">
        <v>115</v>
      </c>
      <c r="B106" s="53" t="inlineStr">
        <is>
          <t>CGN</t>
        </is>
      </c>
      <c r="C106" s="143" t="inlineStr">
        <is>
          <t>Probiotic  5 млрд,  60 растительных капсул</t>
        </is>
      </c>
      <c r="D106" s="50" t="n">
        <v>178000</v>
      </c>
      <c r="E106" s="33" t="n">
        <v>30</v>
      </c>
      <c r="F106" s="34" t="inlineStr">
        <is>
          <t xml:space="preserve">2 года </t>
        </is>
      </c>
      <c r="G106" s="138" t="n">
        <v>2106909803</v>
      </c>
      <c r="H106" s="138" t="n">
        <v>2936001013000000</v>
      </c>
      <c r="I106" s="138" t="n">
        <v>898220009633</v>
      </c>
      <c r="J106" s="36" t="inlineStr">
        <is>
          <t>в наличии</t>
        </is>
      </c>
      <c r="K106" s="39" t="n"/>
      <c r="L106" s="139" t="n"/>
      <c r="M106" s="140" t="n"/>
      <c r="N106" s="11" t="n"/>
    </row>
    <row r="107" ht="15.6" customFormat="1" customHeight="1" s="7">
      <c r="A107" s="5" t="n">
        <v>116</v>
      </c>
      <c r="B107" s="53" t="inlineStr">
        <is>
          <t>CGN</t>
        </is>
      </c>
      <c r="C107" s="143" t="inlineStr">
        <is>
          <t>Probiotic  30 млрд,  60 растительных капсул</t>
        </is>
      </c>
      <c r="D107" s="50" t="n">
        <v>359000</v>
      </c>
      <c r="E107" s="33" t="n">
        <v>30</v>
      </c>
      <c r="F107" s="34" t="inlineStr">
        <is>
          <t xml:space="preserve">2 года </t>
        </is>
      </c>
      <c r="G107" s="138" t="n">
        <v>2106909803</v>
      </c>
      <c r="H107" s="138" t="n">
        <v>2936001013000000</v>
      </c>
      <c r="I107" s="138" t="n">
        <v>898220009657</v>
      </c>
      <c r="J107" s="36" t="inlineStr">
        <is>
          <t>в наличии</t>
        </is>
      </c>
      <c r="K107" s="39" t="n"/>
      <c r="L107" s="139" t="n"/>
      <c r="M107" s="140" t="n"/>
      <c r="N107" s="11" t="n"/>
    </row>
    <row r="108" ht="15.6" customFormat="1" customHeight="1" s="7">
      <c r="A108" s="5" t="n">
        <v>118</v>
      </c>
      <c r="B108" s="53" t="inlineStr">
        <is>
          <t>CGN</t>
        </is>
      </c>
      <c r="C108" s="143" t="inlineStr">
        <is>
          <t>CollagenUP  гидролизованные коллагена в виде порошка с витамином C, 206 г</t>
        </is>
      </c>
      <c r="D108" s="50" t="n">
        <v>256000</v>
      </c>
      <c r="E108" s="33" t="n">
        <v>20</v>
      </c>
      <c r="F108" s="34" t="inlineStr">
        <is>
          <t xml:space="preserve">2 года </t>
        </is>
      </c>
      <c r="G108" s="138" t="n">
        <v>2106909803</v>
      </c>
      <c r="H108" s="138" t="n">
        <v>2936001013000000</v>
      </c>
      <c r="I108" s="138" t="n">
        <v>608274102002</v>
      </c>
      <c r="J108" s="36" t="inlineStr">
        <is>
          <t>в наличии</t>
        </is>
      </c>
      <c r="K108" s="39" t="n"/>
      <c r="L108" s="139" t="n"/>
      <c r="M108" s="140" t="n"/>
      <c r="N108" s="11" t="n"/>
    </row>
    <row r="109" ht="15.6" customFormat="1" customHeight="1" s="7">
      <c r="A109" s="5" t="n">
        <v>119</v>
      </c>
      <c r="B109" s="53" t="inlineStr">
        <is>
          <t>CGN</t>
        </is>
      </c>
      <c r="C109" s="144" t="inlineStr">
        <is>
          <t>CollagenUP  гидролизованные коллагена в виде порошка с витамином C, 464 г</t>
        </is>
      </c>
      <c r="D109" s="50" t="n">
        <v>498000</v>
      </c>
      <c r="E109" s="33" t="n">
        <v>8</v>
      </c>
      <c r="F109" s="34" t="inlineStr">
        <is>
          <t xml:space="preserve">2 года </t>
        </is>
      </c>
      <c r="G109" s="138" t="n">
        <v>2106909803</v>
      </c>
      <c r="H109" s="138" t="n">
        <v>2936001013000000</v>
      </c>
      <c r="I109" s="138" t="n">
        <v>608274107007</v>
      </c>
      <c r="J109" s="36" t="inlineStr">
        <is>
          <t>в наличии</t>
        </is>
      </c>
      <c r="K109" s="39" t="n"/>
      <c r="L109" s="139" t="n"/>
      <c r="M109" s="140" t="n"/>
      <c r="N109" s="11" t="n"/>
    </row>
    <row r="110" ht="19.2" customFormat="1" customHeight="1" s="25">
      <c r="A110" s="20" t="n"/>
      <c r="B110" s="83" t="n"/>
      <c r="C110" s="84" t="inlineStr">
        <is>
          <t>Витамины БАД  NATURES PLUS  (США)</t>
        </is>
      </c>
      <c r="D110" s="85" t="n"/>
      <c r="E110" s="86" t="n"/>
      <c r="F110" s="87" t="n"/>
      <c r="G110" s="87" t="n"/>
      <c r="H110" s="87" t="n"/>
      <c r="I110" s="87" t="n"/>
      <c r="J110" s="86" t="n"/>
      <c r="K110" s="23" t="n"/>
      <c r="L110" s="147" t="n"/>
      <c r="M110" s="147" t="n"/>
    </row>
    <row r="111" ht="15.6" customFormat="1" customHeight="1" s="7">
      <c r="A111" s="5" t="n">
        <v>120</v>
      </c>
      <c r="B111" s="83" t="inlineStr">
        <is>
          <t>N P</t>
        </is>
      </c>
      <c r="C111" s="143" t="inlineStr">
        <is>
          <t>NaturesPlus, Hema-Plex®, железо  30 таблеток медленного высвобождения</t>
        </is>
      </c>
      <c r="D111" s="50" t="n">
        <v>175000</v>
      </c>
      <c r="E111" s="33" t="n">
        <v>6</v>
      </c>
      <c r="F111" s="34" t="inlineStr">
        <is>
          <t xml:space="preserve">4 года </t>
        </is>
      </c>
      <c r="G111" s="138" t="n">
        <v>2106909803</v>
      </c>
      <c r="H111" s="138" t="n">
        <v>2936001013000000</v>
      </c>
      <c r="I111" s="138" t="n">
        <v>97467037700</v>
      </c>
      <c r="J111" s="36" t="inlineStr">
        <is>
          <t>в наличии</t>
        </is>
      </c>
      <c r="K111" s="39" t="n"/>
      <c r="L111" s="139" t="n"/>
      <c r="M111" s="140" t="n"/>
      <c r="N111" s="11" t="n"/>
    </row>
    <row r="112" ht="15.6" customFormat="1" customHeight="1" s="7">
      <c r="A112" s="5" t="n">
        <v>121</v>
      </c>
      <c r="B112" s="83" t="inlineStr">
        <is>
          <t>N P</t>
        </is>
      </c>
      <c r="C112" s="144" t="inlineStr">
        <is>
          <t>NaturesPlus, Hema-Plex®, железо  60 капсул быстрого действия</t>
        </is>
      </c>
      <c r="D112" s="50" t="n">
        <v>197000</v>
      </c>
      <c r="E112" s="33" t="n">
        <v>42</v>
      </c>
      <c r="F112" s="34" t="inlineStr">
        <is>
          <t xml:space="preserve">4 года </t>
        </is>
      </c>
      <c r="G112" s="138" t="n">
        <v>2106909803</v>
      </c>
      <c r="H112" s="138" t="n">
        <v>2936001013000000</v>
      </c>
      <c r="I112" s="138" t="n">
        <v>97467376915</v>
      </c>
      <c r="J112" s="36" t="inlineStr">
        <is>
          <t>в наличии</t>
        </is>
      </c>
      <c r="K112" s="39" t="n"/>
      <c r="L112" s="139" t="n"/>
      <c r="M112" s="140" t="n"/>
      <c r="N112" s="11" t="n"/>
    </row>
    <row r="113" ht="15.6" customFormat="1" customHeight="1" s="7">
      <c r="A113" s="5" t="n">
        <v>122</v>
      </c>
      <c r="B113" s="83" t="inlineStr">
        <is>
          <t>N P</t>
        </is>
      </c>
      <c r="C113" s="143" t="inlineStr">
        <is>
          <t>NaturesPlus, Hema-Plex®, железо  60 быстродействующих капсул</t>
        </is>
      </c>
      <c r="D113" s="50" t="n">
        <v>242000</v>
      </c>
      <c r="E113" s="33" t="n">
        <v>42</v>
      </c>
      <c r="F113" s="34" t="inlineStr">
        <is>
          <t xml:space="preserve">4 года </t>
        </is>
      </c>
      <c r="G113" s="138" t="n">
        <v>2106909803</v>
      </c>
      <c r="H113" s="138" t="n">
        <v>2936001013000000</v>
      </c>
      <c r="I113" s="138" t="n">
        <v>97467037724</v>
      </c>
      <c r="J113" s="36" t="inlineStr">
        <is>
          <t>в наличии</t>
        </is>
      </c>
      <c r="K113" s="39" t="n"/>
      <c r="L113" s="139" t="n"/>
      <c r="M113" s="140" t="n"/>
      <c r="N113" s="11" t="n"/>
    </row>
    <row r="114" ht="27.6" customFormat="1" customHeight="1" s="7">
      <c r="A114" s="5" t="n">
        <v>123</v>
      </c>
      <c r="B114" s="83" t="inlineStr">
        <is>
          <t>N P</t>
        </is>
      </c>
      <c r="C114" s="141" t="inlineStr">
        <is>
          <t>NaturesPlus, Hema-Plex®, железо с незаменимыми питательными веществами для здоровых эритроцитов  60 таблеток медленного высвобождения</t>
        </is>
      </c>
      <c r="D114" s="50" t="n">
        <v>318000</v>
      </c>
      <c r="E114" s="33" t="n">
        <v>42</v>
      </c>
      <c r="F114" s="34" t="inlineStr">
        <is>
          <t xml:space="preserve">4 года </t>
        </is>
      </c>
      <c r="G114" s="138" t="n">
        <v>2106909803</v>
      </c>
      <c r="H114" s="138" t="n">
        <v>2936001013000000</v>
      </c>
      <c r="I114" s="138" t="n">
        <v>97467037625</v>
      </c>
      <c r="J114" s="36" t="inlineStr">
        <is>
          <t>в наличии</t>
        </is>
      </c>
      <c r="K114" s="39" t="n"/>
      <c r="L114" s="139" t="n"/>
      <c r="M114" s="140" t="n"/>
      <c r="N114" s="11" t="n"/>
    </row>
    <row r="115" ht="27.6" customFormat="1" customHeight="1" s="7">
      <c r="A115" s="5" t="n">
        <v>124</v>
      </c>
      <c r="B115" s="83" t="inlineStr">
        <is>
          <t>N P</t>
        </is>
      </c>
      <c r="C115" s="137" t="inlineStr">
        <is>
          <t>NaturesPlus, Hema-Plex, жевательная добавка с железом, с ягодным вкусом  60 жевательных таблеток</t>
        </is>
      </c>
      <c r="D115" s="50" t="n">
        <v>180000</v>
      </c>
      <c r="E115" s="33" t="n">
        <v>42</v>
      </c>
      <c r="F115" s="34" t="inlineStr">
        <is>
          <t xml:space="preserve">3 года </t>
        </is>
      </c>
      <c r="G115" s="138" t="n">
        <v>2106909803</v>
      </c>
      <c r="H115" s="138" t="n">
        <v>2936001013000000</v>
      </c>
      <c r="I115" s="138" t="n">
        <v>97467037687</v>
      </c>
      <c r="J115" s="36" t="inlineStr">
        <is>
          <t>в наличии</t>
        </is>
      </c>
      <c r="K115" s="39" t="n"/>
      <c r="L115" s="139" t="n"/>
      <c r="M115" s="140" t="n"/>
      <c r="N115" s="11" t="n"/>
    </row>
    <row r="116" ht="27.6" customFormat="1" customHeight="1" s="7">
      <c r="A116" s="5" t="n">
        <v>125</v>
      </c>
      <c r="B116" s="83" t="inlineStr">
        <is>
          <t>N P</t>
        </is>
      </c>
      <c r="C116" s="137" t="inlineStr">
        <is>
          <t>NaturesPlus, Hema-Plex®, жидкое железо и необходимые питательные вещества, ягодный вкус  250 мл</t>
        </is>
      </c>
      <c r="D116" s="50" t="n">
        <v>328000</v>
      </c>
      <c r="E116" s="33" t="n">
        <v>12</v>
      </c>
      <c r="F116" s="34" t="inlineStr">
        <is>
          <t xml:space="preserve">3 года </t>
        </is>
      </c>
      <c r="G116" s="138" t="n">
        <v>2106909803</v>
      </c>
      <c r="H116" s="138" t="n">
        <v>2936001013000000</v>
      </c>
      <c r="I116" s="138" t="n">
        <v>97467376878</v>
      </c>
      <c r="J116" s="36" t="inlineStr">
        <is>
          <t>в наличии</t>
        </is>
      </c>
      <c r="K116" s="39" t="n"/>
      <c r="L116" s="139" t="n"/>
      <c r="M116" s="140" t="n"/>
      <c r="N116" s="11" t="n"/>
    </row>
    <row r="117" ht="15.6" customFormat="1" customHeight="1" s="7">
      <c r="A117" s="5" t="n">
        <v>126</v>
      </c>
      <c r="B117" s="83" t="inlineStr">
        <is>
          <t>N P</t>
        </is>
      </c>
      <c r="C117" s="143" t="inlineStr">
        <is>
          <t>NaturesPlus, Пептиды коллагена  294 г</t>
        </is>
      </c>
      <c r="D117" s="50" t="n">
        <v>430000</v>
      </c>
      <c r="E117" s="33" t="n">
        <v>15</v>
      </c>
      <c r="F117" s="34" t="inlineStr">
        <is>
          <t xml:space="preserve">4 года </t>
        </is>
      </c>
      <c r="G117" s="138" t="n">
        <v>2106909803</v>
      </c>
      <c r="H117" s="138" t="n">
        <v>2936001013000000</v>
      </c>
      <c r="I117" s="138" t="n">
        <v>97467459618</v>
      </c>
      <c r="J117" s="36" t="inlineStr">
        <is>
          <t>в наличии</t>
        </is>
      </c>
      <c r="K117" s="39" t="n"/>
      <c r="L117" s="139" t="n"/>
      <c r="M117" s="140" t="n"/>
      <c r="N117" s="11" t="n"/>
    </row>
    <row r="118" ht="15.6" customFormat="1" customHeight="1" s="7">
      <c r="A118" s="5" t="n">
        <v>127</v>
      </c>
      <c r="B118" s="83" t="inlineStr">
        <is>
          <t>N P</t>
        </is>
      </c>
      <c r="C118" s="143" t="inlineStr">
        <is>
          <t>NaturesPlus, Пептиды коллагена, ваниль  364 г</t>
        </is>
      </c>
      <c r="D118" s="50" t="n">
        <v>440000</v>
      </c>
      <c r="E118" s="33" t="n">
        <v>12</v>
      </c>
      <c r="F118" s="34" t="inlineStr">
        <is>
          <t xml:space="preserve">4 года </t>
        </is>
      </c>
      <c r="G118" s="138" t="n">
        <v>2106909803</v>
      </c>
      <c r="H118" s="138" t="n">
        <v>2936001013000000</v>
      </c>
      <c r="I118" s="138" t="n">
        <v>97467459663</v>
      </c>
      <c r="J118" s="36" t="inlineStr">
        <is>
          <t>в наличии</t>
        </is>
      </c>
      <c r="K118" s="39" t="n"/>
      <c r="L118" s="139" t="n"/>
      <c r="M118" s="140" t="n"/>
      <c r="N118" s="11" t="n"/>
    </row>
    <row r="119" ht="15.6" customFormat="1" customHeight="1" s="7">
      <c r="A119" s="5" t="n">
        <v>128</v>
      </c>
      <c r="B119" s="83" t="inlineStr">
        <is>
          <t>N P</t>
        </is>
      </c>
      <c r="C119" s="143" t="inlineStr">
        <is>
          <t>NaturesPlus, Коллагеновые пептиды, шоколадные  378 г</t>
        </is>
      </c>
      <c r="D119" s="50" t="n">
        <v>440000</v>
      </c>
      <c r="E119" s="33" t="n">
        <v>12</v>
      </c>
      <c r="F119" s="34" t="inlineStr">
        <is>
          <t xml:space="preserve">4 года </t>
        </is>
      </c>
      <c r="G119" s="138" t="n">
        <v>2106909803</v>
      </c>
      <c r="H119" s="138" t="n">
        <v>2936001013000000</v>
      </c>
      <c r="I119" s="138" t="n">
        <v>97467459670</v>
      </c>
      <c r="J119" s="36" t="inlineStr">
        <is>
          <t>в наличии</t>
        </is>
      </c>
      <c r="K119" s="39" t="n"/>
      <c r="L119" s="139" t="n"/>
      <c r="M119" s="140" t="n"/>
      <c r="N119" s="11" t="n"/>
    </row>
    <row r="120" ht="27.6" customFormat="1" customHeight="1" s="7">
      <c r="A120" s="5" t="n">
        <v>129</v>
      </c>
      <c r="B120" s="83" t="inlineStr">
        <is>
          <t>N P</t>
        </is>
      </c>
      <c r="C120" s="137" t="inlineStr">
        <is>
          <t>NaturesPlus, MagKidz®, Animal Parade®  жевательный магний для детей, вишня  90 таблеток в форме животных (50 мг в 1 таблетке)</t>
        </is>
      </c>
      <c r="D120" s="50" t="n">
        <v>209000</v>
      </c>
      <c r="E120" s="33" t="n">
        <v>42</v>
      </c>
      <c r="F120" s="34" t="inlineStr">
        <is>
          <t xml:space="preserve">3 года </t>
        </is>
      </c>
      <c r="G120" s="138" t="n">
        <v>2106909803</v>
      </c>
      <c r="H120" s="138" t="n">
        <v>2936001013000000</v>
      </c>
      <c r="I120" s="138" t="n">
        <v>97467299429</v>
      </c>
      <c r="J120" s="36" t="inlineStr">
        <is>
          <t>в наличии</t>
        </is>
      </c>
      <c r="K120" s="39" t="n"/>
      <c r="L120" s="139" t="n"/>
      <c r="M120" s="140" t="n"/>
      <c r="N120" s="11" t="n"/>
    </row>
    <row r="121" ht="27.6" customFormat="1" customHeight="1" s="7">
      <c r="A121" s="5" t="n">
        <v>130</v>
      </c>
      <c r="B121" s="83" t="inlineStr">
        <is>
          <t>N P</t>
        </is>
      </c>
      <c r="C121" s="137" t="inlineStr">
        <is>
          <t>NaturesPlus, Animal Parade®, Mag Kidz® магний для детей форме порошка, со вкусом вишни  171 г</t>
        </is>
      </c>
      <c r="D121" s="50" t="n">
        <v>230000</v>
      </c>
      <c r="E121" s="33" t="n">
        <v>27</v>
      </c>
      <c r="F121" s="34" t="inlineStr">
        <is>
          <t xml:space="preserve">4 года </t>
        </is>
      </c>
      <c r="G121" s="138" t="n">
        <v>2106909803</v>
      </c>
      <c r="H121" s="138" t="n">
        <v>2936001013000000</v>
      </c>
      <c r="I121" s="138" t="n">
        <v>97467299436</v>
      </c>
      <c r="J121" s="36" t="inlineStr">
        <is>
          <t>в наличии</t>
        </is>
      </c>
      <c r="K121" s="39" t="n"/>
      <c r="L121" s="139" t="n"/>
      <c r="M121" s="140" t="n"/>
      <c r="N121" s="11" t="n"/>
    </row>
    <row r="122" ht="27.6" customFormat="1" customHeight="1" s="7">
      <c r="A122" s="5" t="n">
        <v>131</v>
      </c>
      <c r="B122" s="83" t="inlineStr">
        <is>
          <t>N P</t>
        </is>
      </c>
      <c r="C122" s="137" t="inlineStr">
        <is>
          <t>NaturesPlus, Animal Parade® Gold, жевательные мультивитамины для детей, со вкусом вишни, винограда и апельсина  60 таблеток в форме животных</t>
        </is>
      </c>
      <c r="D122" s="50" t="n">
        <v>241000</v>
      </c>
      <c r="E122" s="33" t="n">
        <v>42</v>
      </c>
      <c r="F122" s="34" t="inlineStr">
        <is>
          <t xml:space="preserve">3 года </t>
        </is>
      </c>
      <c r="G122" s="138" t="n">
        <v>2106909803</v>
      </c>
      <c r="H122" s="138" t="n">
        <v>2936001013000000</v>
      </c>
      <c r="I122" s="138" t="n">
        <v>97467299276</v>
      </c>
      <c r="J122" s="36" t="inlineStr">
        <is>
          <t>в наличии</t>
        </is>
      </c>
      <c r="K122" s="39" t="n"/>
      <c r="L122" s="139" t="n"/>
      <c r="M122" s="140" t="n"/>
      <c r="N122" s="11" t="n"/>
    </row>
    <row r="123" ht="27.6" customFormat="1" customHeight="1" s="7">
      <c r="A123" s="5" t="n">
        <v>132</v>
      </c>
      <c r="B123" s="83" t="inlineStr">
        <is>
          <t>N P</t>
        </is>
      </c>
      <c r="C123" s="137" t="inlineStr">
        <is>
          <t>NaturesPlus, Animal Parade®, жевательные мультивитамины для детей, со вкусом вишни, винограда и апельсина  90 таблеток в форме животных</t>
        </is>
      </c>
      <c r="D123" s="50" t="n">
        <v>247000</v>
      </c>
      <c r="E123" s="33" t="n">
        <v>42</v>
      </c>
      <c r="F123" s="34" t="inlineStr">
        <is>
          <t xml:space="preserve">3 года </t>
        </is>
      </c>
      <c r="G123" s="138" t="n">
        <v>2106909803</v>
      </c>
      <c r="H123" s="138" t="n">
        <v>2936001013000000</v>
      </c>
      <c r="I123" s="138" t="n">
        <v>97467299801</v>
      </c>
      <c r="J123" s="36" t="inlineStr">
        <is>
          <t>в наличии</t>
        </is>
      </c>
      <c r="K123" s="39" t="n"/>
      <c r="L123" s="139" t="n"/>
      <c r="M123" s="140" t="n"/>
      <c r="N123" s="11" t="n"/>
    </row>
    <row r="124" ht="27.6" customFormat="1" customHeight="1" s="7">
      <c r="A124" s="5" t="n">
        <v>133</v>
      </c>
      <c r="B124" s="83" t="inlineStr">
        <is>
          <t>N P</t>
        </is>
      </c>
      <c r="C124" s="137" t="inlineStr">
        <is>
          <t>NaturesPlus, Animal Parade® Gold, жевательные мультивитамины для детей, со вкусом вишни, винограда и апельсина, 120 таблеток в форме животных</t>
        </is>
      </c>
      <c r="D124" s="50" t="n">
        <v>409000</v>
      </c>
      <c r="E124" s="33" t="n">
        <v>30</v>
      </c>
      <c r="F124" s="34" t="inlineStr">
        <is>
          <t xml:space="preserve">3 года </t>
        </is>
      </c>
      <c r="G124" s="138" t="n">
        <v>2106909803</v>
      </c>
      <c r="H124" s="138" t="n">
        <v>2936001013000000</v>
      </c>
      <c r="I124" s="138" t="n">
        <v>97467299283</v>
      </c>
      <c r="J124" s="36" t="inlineStr">
        <is>
          <t>в наличии</t>
        </is>
      </c>
      <c r="K124" s="39" t="n"/>
      <c r="L124" s="139" t="n"/>
      <c r="M124" s="140" t="n"/>
      <c r="N124" s="11" t="n"/>
    </row>
    <row r="125" ht="27.6" customFormat="1" customHeight="1" s="7">
      <c r="A125" s="5" t="n">
        <v>134</v>
      </c>
      <c r="B125" s="83" t="inlineStr">
        <is>
          <t>N P</t>
        </is>
      </c>
      <c r="C125" s="137" t="inlineStr">
        <is>
          <t>NaturesPlus, Animal Parade®, жевательные мультивитамины для детей, вишня, виноград и апельсин  180 таблеток в форме животных</t>
        </is>
      </c>
      <c r="D125" s="50" t="n">
        <v>441000</v>
      </c>
      <c r="E125" s="33" t="n">
        <v>27</v>
      </c>
      <c r="F125" s="34" t="inlineStr">
        <is>
          <t xml:space="preserve">3 года </t>
        </is>
      </c>
      <c r="G125" s="138" t="n">
        <v>2106909803</v>
      </c>
      <c r="H125" s="138" t="n">
        <v>2936001013000000</v>
      </c>
      <c r="I125" s="138" t="n">
        <v>97467299825</v>
      </c>
      <c r="J125" s="36" t="inlineStr">
        <is>
          <t>в наличии</t>
        </is>
      </c>
      <c r="K125" s="39" t="n"/>
      <c r="L125" s="139" t="n"/>
      <c r="M125" s="140" t="n"/>
      <c r="N125" s="11" t="n"/>
    </row>
    <row r="126" ht="27.6" customFormat="1" customHeight="1" s="7">
      <c r="A126" s="5" t="n">
        <v>135</v>
      </c>
      <c r="B126" s="83" t="inlineStr">
        <is>
          <t>N P</t>
        </is>
      </c>
      <c r="C126" s="137" t="inlineStr">
        <is>
          <t>NaturesPlus, Animal Parade®, жевательные мультивитамины для детей, со вкусом арбуза  180 таблеток в форме животных</t>
        </is>
      </c>
      <c r="D126" s="50" t="n">
        <v>441000</v>
      </c>
      <c r="E126" s="33" t="n">
        <v>27</v>
      </c>
      <c r="F126" s="34" t="inlineStr">
        <is>
          <t xml:space="preserve">3 года </t>
        </is>
      </c>
      <c r="G126" s="138" t="n">
        <v>2106909803</v>
      </c>
      <c r="H126" s="138" t="n">
        <v>2936001013000000</v>
      </c>
      <c r="I126" s="138" t="n">
        <v>97467299931</v>
      </c>
      <c r="J126" s="36" t="inlineStr">
        <is>
          <t>в наличии</t>
        </is>
      </c>
      <c r="K126" s="39" t="n"/>
      <c r="L126" s="139" t="n"/>
      <c r="M126" s="140" t="n"/>
      <c r="N126" s="11" t="n"/>
    </row>
    <row r="127" ht="19.2" customFormat="1" customHeight="1" s="25">
      <c r="A127" s="20" t="n"/>
      <c r="B127" s="18" t="n"/>
      <c r="C127" s="64" t="inlineStr">
        <is>
          <t>Витамины БАД CHILD LIFE  (США)</t>
        </is>
      </c>
      <c r="D127" s="52" t="n"/>
      <c r="E127" s="30" t="n"/>
      <c r="F127" s="31" t="n"/>
      <c r="G127" s="31" t="n"/>
      <c r="H127" s="31" t="n"/>
      <c r="I127" s="31" t="n"/>
      <c r="J127" s="30" t="n"/>
      <c r="K127" s="23" t="n"/>
      <c r="L127" s="148" t="n"/>
      <c r="M127" s="148" t="n"/>
    </row>
    <row r="128" ht="15.6" customFormat="1" customHeight="1" s="7">
      <c r="A128" s="5" t="n">
        <v>140</v>
      </c>
      <c r="B128" s="18" t="inlineStr">
        <is>
          <t>CH L</t>
        </is>
      </c>
      <c r="C128" s="144" t="inlineStr">
        <is>
          <t>Витамин D3, со вкусом натуральных ягод,  30 мл</t>
        </is>
      </c>
      <c r="D128" s="50" t="n">
        <v>98000</v>
      </c>
      <c r="E128" s="33" t="n">
        <v>12</v>
      </c>
      <c r="F128" s="34" t="inlineStr">
        <is>
          <t xml:space="preserve">3 года </t>
        </is>
      </c>
      <c r="G128" s="138" t="n">
        <v>2106909803</v>
      </c>
      <c r="H128" s="138" t="n">
        <v>2936001013000000</v>
      </c>
      <c r="I128" s="138" t="n">
        <v>608274109001</v>
      </c>
      <c r="J128" s="36" t="inlineStr">
        <is>
          <t>в наличии</t>
        </is>
      </c>
      <c r="K128" s="39" t="n"/>
      <c r="L128" s="139" t="n"/>
      <c r="M128" s="140">
        <f>L128*D128</f>
        <v/>
      </c>
      <c r="N128" s="11" t="n"/>
    </row>
    <row r="129" ht="15.6" customFormat="1" customHeight="1" s="7">
      <c r="A129" s="5" t="n">
        <v>141</v>
      </c>
      <c r="B129" s="18" t="inlineStr">
        <is>
          <t>CH L</t>
        </is>
      </c>
      <c r="C129" s="143" t="inlineStr">
        <is>
          <t>Витамин C  в жидкой форме, натуральный апельсиновый вкус,  118,5 мл</t>
        </is>
      </c>
      <c r="D129" s="50" t="n">
        <v>117000</v>
      </c>
      <c r="E129" s="33" t="n">
        <v>12</v>
      </c>
      <c r="F129" s="34" t="inlineStr">
        <is>
          <t xml:space="preserve">2 года </t>
        </is>
      </c>
      <c r="G129" s="138" t="n">
        <v>2106909803</v>
      </c>
      <c r="H129" s="138" t="n">
        <v>2936001013000000</v>
      </c>
      <c r="I129" s="138" t="n">
        <v>608274102002</v>
      </c>
      <c r="J129" s="36" t="inlineStr">
        <is>
          <t>в наличии</t>
        </is>
      </c>
      <c r="K129" s="39" t="n"/>
      <c r="L129" s="139" t="n"/>
      <c r="M129" s="140">
        <f>L129*D129</f>
        <v/>
      </c>
      <c r="N129" s="11" t="n"/>
    </row>
    <row r="130" ht="15.6" customFormat="1" customHeight="1" s="7">
      <c r="A130" s="5" t="n">
        <v>142</v>
      </c>
      <c r="B130" s="18" t="inlineStr">
        <is>
          <t>CH L</t>
        </is>
      </c>
      <c r="C130" s="143" t="inlineStr">
        <is>
          <t xml:space="preserve">Цинк  плюс, натуральный вкус манго и клубники,  118 мл </t>
        </is>
      </c>
      <c r="D130" s="50" t="n">
        <v>123000</v>
      </c>
      <c r="E130" s="33" t="n">
        <v>12</v>
      </c>
      <c r="F130" s="34" t="inlineStr">
        <is>
          <t xml:space="preserve">3 года </t>
        </is>
      </c>
      <c r="G130" s="138" t="n">
        <v>2106909803</v>
      </c>
      <c r="H130" s="138" t="n">
        <v>2936001013000000</v>
      </c>
      <c r="I130" s="138" t="n">
        <v>608274103504</v>
      </c>
      <c r="J130" s="36" t="inlineStr">
        <is>
          <t>в наличии</t>
        </is>
      </c>
      <c r="K130" s="39" t="n"/>
      <c r="L130" s="139" t="n"/>
      <c r="M130" s="140">
        <f>L130*D130</f>
        <v/>
      </c>
      <c r="N130" s="11" t="n"/>
    </row>
    <row r="131" ht="15.6" customFormat="1" customHeight="1" s="7">
      <c r="A131" s="5" t="n">
        <v>143</v>
      </c>
      <c r="B131" s="18" t="inlineStr">
        <is>
          <t>CH L</t>
        </is>
      </c>
      <c r="C131" s="144" t="inlineStr">
        <is>
          <t>Жидкий железо, Iron с натуральным ягодным вкусом,  118 мл</t>
        </is>
      </c>
      <c r="D131" s="50" t="n">
        <v>171000</v>
      </c>
      <c r="E131" s="33" t="n">
        <v>12</v>
      </c>
      <c r="F131" s="34" t="inlineStr">
        <is>
          <t xml:space="preserve">3 года </t>
        </is>
      </c>
      <c r="G131" s="138" t="n">
        <v>2106909803</v>
      </c>
      <c r="H131" s="138" t="n">
        <v>2936001013000000</v>
      </c>
      <c r="I131" s="138" t="n">
        <v>608274121003</v>
      </c>
      <c r="J131" s="36" t="inlineStr">
        <is>
          <t>в наличии</t>
        </is>
      </c>
      <c r="K131" s="39" t="n"/>
      <c r="L131" s="139" t="n"/>
      <c r="M131" s="140">
        <f>L131*D131</f>
        <v/>
      </c>
      <c r="N131" s="11" t="n"/>
    </row>
    <row r="132" ht="15.6" customFormat="1" customHeight="1" s="7">
      <c r="A132" s="5" t="n">
        <v>144</v>
      </c>
      <c r="B132" s="18" t="inlineStr">
        <is>
          <t>CH L</t>
        </is>
      </c>
      <c r="C132" s="144" t="inlineStr">
        <is>
          <t>Жидкий кальций с магнием, с натуральным апельсиновым вкусом,  474 мл</t>
        </is>
      </c>
      <c r="D132" s="50" t="n">
        <v>253000</v>
      </c>
      <c r="E132" s="33" t="n">
        <v>12</v>
      </c>
      <c r="F132" s="34" t="inlineStr">
        <is>
          <t xml:space="preserve">3 года </t>
        </is>
      </c>
      <c r="G132" s="138" t="n">
        <v>2106909803</v>
      </c>
      <c r="H132" s="138" t="n">
        <v>2936001013000000</v>
      </c>
      <c r="I132" s="138" t="n">
        <v>608274107007</v>
      </c>
      <c r="J132" s="36" t="inlineStr">
        <is>
          <t>в наличии</t>
        </is>
      </c>
      <c r="K132" s="39" t="n"/>
      <c r="L132" s="139" t="n"/>
      <c r="M132" s="140">
        <f>L132*D132</f>
        <v/>
      </c>
      <c r="N132" s="11" t="n"/>
    </row>
    <row r="133" ht="15.6" customFormat="1" customHeight="1" s="7">
      <c r="A133" s="5" t="n">
        <v>145</v>
      </c>
      <c r="B133" s="18" t="inlineStr">
        <is>
          <t>CH L</t>
        </is>
      </c>
      <c r="C133" s="143" t="inlineStr">
        <is>
          <t>Мультивитамины и минералы, натуральный вкус апельсина и манго,  237 мл</t>
        </is>
      </c>
      <c r="D133" s="50" t="n">
        <v>240000</v>
      </c>
      <c r="E133" s="33" t="n">
        <v>12</v>
      </c>
      <c r="F133" s="34" t="inlineStr">
        <is>
          <t xml:space="preserve">2 года </t>
        </is>
      </c>
      <c r="G133" s="138" t="n">
        <v>2106909803</v>
      </c>
      <c r="H133" s="138" t="n">
        <v>2936001013000000</v>
      </c>
      <c r="I133" s="138" t="n">
        <v>608274103009</v>
      </c>
      <c r="J133" s="36" t="inlineStr">
        <is>
          <t>в наличии</t>
        </is>
      </c>
      <c r="K133" s="39" t="n"/>
      <c r="L133" s="139" t="n"/>
      <c r="M133" s="140">
        <f>L133*D133</f>
        <v/>
      </c>
      <c r="N133" s="11" t="n"/>
    </row>
    <row r="134" ht="15.6" customFormat="1" customHeight="1" s="7">
      <c r="A134" s="5" t="n">
        <v>146</v>
      </c>
      <c r="B134" s="18" t="inlineStr">
        <is>
          <t>CH L</t>
        </is>
      </c>
      <c r="C134" s="144" t="inlineStr">
        <is>
          <t>Жидкая Эхинацея, со вкусом натурального апельсина,  30 мл</t>
        </is>
      </c>
      <c r="D134" s="50" t="n">
        <v>114000</v>
      </c>
      <c r="E134" s="33" t="n">
        <v>12</v>
      </c>
      <c r="F134" s="34" t="inlineStr">
        <is>
          <t xml:space="preserve">5 года </t>
        </is>
      </c>
      <c r="G134" s="138" t="n">
        <v>2106909803</v>
      </c>
      <c r="H134" s="138" t="n">
        <v>2936001013000000</v>
      </c>
      <c r="I134" s="138" t="n">
        <v>608274101005</v>
      </c>
      <c r="J134" s="36" t="inlineStr">
        <is>
          <t>в наличии</t>
        </is>
      </c>
      <c r="K134" s="39" t="n"/>
      <c r="L134" s="139" t="n"/>
      <c r="M134" s="140">
        <f>L134*D134</f>
        <v/>
      </c>
      <c r="N134" s="11" t="n"/>
    </row>
    <row r="135" ht="21.6" customFormat="1" customHeight="1" s="7">
      <c r="A135" s="5" t="n"/>
      <c r="B135" s="107" t="n"/>
      <c r="C135" s="108" t="inlineStr">
        <is>
          <t>Витамины БАД  LIFE Extension  (США)</t>
        </is>
      </c>
      <c r="D135" s="109" t="n"/>
      <c r="E135" s="110" t="n"/>
      <c r="F135" s="111" t="n"/>
      <c r="G135" s="111" t="n"/>
      <c r="H135" s="149" t="n"/>
      <c r="I135" s="149" t="n"/>
      <c r="J135" s="113" t="n"/>
      <c r="K135" s="114" t="n"/>
      <c r="L135" s="150" t="n"/>
      <c r="M135" s="151" t="n"/>
      <c r="N135" s="11" t="n"/>
    </row>
    <row r="136" ht="15.6" customFormat="1" customHeight="1" s="7">
      <c r="A136" s="5" t="n">
        <v>152</v>
      </c>
      <c r="B136" s="107" t="inlineStr">
        <is>
          <t>L E</t>
        </is>
      </c>
      <c r="C136" s="143" t="inlineStr">
        <is>
          <t>Мультивитамины для приема два раза в день,  60 капсул</t>
        </is>
      </c>
      <c r="D136" s="50" t="n">
        <v>185000</v>
      </c>
      <c r="E136" s="33" t="n">
        <v>24</v>
      </c>
      <c r="F136" s="34" t="inlineStr">
        <is>
          <t xml:space="preserve">3 года </t>
        </is>
      </c>
      <c r="G136" s="138" t="n">
        <v>2106909803</v>
      </c>
      <c r="H136" s="138" t="n">
        <v>2936001013000000</v>
      </c>
      <c r="I136" s="138" t="n">
        <v>737870231769</v>
      </c>
      <c r="J136" s="36" t="inlineStr">
        <is>
          <t>в наличии</t>
        </is>
      </c>
      <c r="K136" s="39" t="n"/>
      <c r="L136" s="139" t="n"/>
      <c r="M136" s="140" t="n"/>
      <c r="N136" s="11" t="n"/>
    </row>
    <row r="137" ht="15.6" customFormat="1" customHeight="1" s="7">
      <c r="A137" s="5" t="n">
        <v>153</v>
      </c>
      <c r="B137" s="107" t="inlineStr">
        <is>
          <t>L E</t>
        </is>
      </c>
      <c r="C137" s="143" t="inlineStr">
        <is>
          <t>Мультивитамины для приема два раза в день,  120 капсул</t>
        </is>
      </c>
      <c r="D137" s="50" t="n">
        <v>323000</v>
      </c>
      <c r="E137" s="33" t="n">
        <v>24</v>
      </c>
      <c r="F137" s="34" t="inlineStr">
        <is>
          <t xml:space="preserve">3 года </t>
        </is>
      </c>
      <c r="G137" s="138" t="n">
        <v>2106909803</v>
      </c>
      <c r="H137" s="138" t="n">
        <v>2936001013000000</v>
      </c>
      <c r="I137" s="138" t="n">
        <v>737870231417</v>
      </c>
      <c r="J137" s="36" t="inlineStr">
        <is>
          <t>в наличии</t>
        </is>
      </c>
      <c r="K137" s="39" t="n"/>
      <c r="L137" s="139" t="n"/>
      <c r="M137" s="140" t="n"/>
      <c r="N137" s="11" t="n"/>
    </row>
    <row r="138" ht="15.6" customFormat="1" customHeight="1" s="7">
      <c r="A138" s="5" t="n">
        <v>154</v>
      </c>
      <c r="B138" s="107" t="inlineStr">
        <is>
          <t>L E</t>
        </is>
      </c>
      <c r="C138" s="143" t="inlineStr">
        <is>
          <t>Полный биоактивный комплекс витаминов группы B,  60 капсул</t>
        </is>
      </c>
      <c r="D138" s="50" t="n">
        <v>159000</v>
      </c>
      <c r="E138" s="33" t="n">
        <v>24</v>
      </c>
      <c r="F138" s="34" t="inlineStr">
        <is>
          <t xml:space="preserve">3 года </t>
        </is>
      </c>
      <c r="G138" s="138" t="n">
        <v>2106909803</v>
      </c>
      <c r="H138" s="138" t="n">
        <v>2936001013000000</v>
      </c>
      <c r="I138" s="138" t="n">
        <v>737870194569</v>
      </c>
      <c r="J138" s="36" t="inlineStr">
        <is>
          <t>в наличии</t>
        </is>
      </c>
      <c r="K138" s="39" t="n"/>
      <c r="L138" s="139" t="n"/>
      <c r="M138" s="140" t="n"/>
      <c r="N138" s="11" t="n"/>
    </row>
    <row r="139" ht="15.6" customFormat="1" customHeight="1" s="7">
      <c r="A139" s="5" t="n">
        <v>155</v>
      </c>
      <c r="B139" s="107" t="inlineStr">
        <is>
          <t>L E</t>
        </is>
      </c>
      <c r="C139" s="143" t="inlineStr">
        <is>
          <t>Neuro-Mag®, L-треонат магния порошок тропический пунш, 93,35 г</t>
        </is>
      </c>
      <c r="D139" s="50" t="n">
        <v>415000</v>
      </c>
      <c r="E139" s="33" t="n">
        <v>12</v>
      </c>
      <c r="F139" s="34" t="inlineStr">
        <is>
          <t xml:space="preserve">3 года </t>
        </is>
      </c>
      <c r="G139" s="138" t="n">
        <v>2106909803</v>
      </c>
      <c r="H139" s="138" t="n">
        <v>2936001013000000</v>
      </c>
      <c r="I139" s="138" t="n">
        <v>737870203292</v>
      </c>
      <c r="J139" s="36" t="inlineStr">
        <is>
          <t>в наличии</t>
        </is>
      </c>
      <c r="K139" s="39" t="n"/>
      <c r="L139" s="139" t="n"/>
      <c r="M139" s="140" t="n"/>
      <c r="N139" s="11" t="n"/>
    </row>
    <row r="140" ht="15.6" customFormat="1" customHeight="1" s="7">
      <c r="A140" s="5" t="n">
        <v>156</v>
      </c>
      <c r="B140" s="107" t="inlineStr">
        <is>
          <t>L E</t>
        </is>
      </c>
      <c r="C140" s="143" t="inlineStr">
        <is>
          <t>Neuro-Mag®, L-треонат магния,  90 капсул</t>
        </is>
      </c>
      <c r="D140" s="50" t="n">
        <v>409000</v>
      </c>
      <c r="E140" s="33" t="n">
        <v>24</v>
      </c>
      <c r="F140" s="34" t="inlineStr">
        <is>
          <t xml:space="preserve">3 года </t>
        </is>
      </c>
      <c r="G140" s="138" t="n">
        <v>2106909803</v>
      </c>
      <c r="H140" s="138" t="n">
        <v>2936001013000000</v>
      </c>
      <c r="I140" s="138" t="n">
        <v>737870160397</v>
      </c>
      <c r="J140" s="36" t="inlineStr">
        <is>
          <t>в наличии</t>
        </is>
      </c>
      <c r="K140" s="39" t="n"/>
      <c r="L140" s="139" t="n"/>
      <c r="M140" s="140" t="n"/>
      <c r="N140" s="11" t="n"/>
    </row>
    <row r="141" ht="15.6" customFormat="1" customHeight="1" s="7">
      <c r="A141" s="5" t="n">
        <v>157</v>
      </c>
      <c r="B141" s="107" t="inlineStr">
        <is>
          <t>L E</t>
        </is>
      </c>
      <c r="C141" s="143" t="inlineStr">
        <is>
          <t>Инозитол, 1000 мг,  360 капсул</t>
        </is>
      </c>
      <c r="D141" s="50" t="n">
        <v>599000</v>
      </c>
      <c r="E141" s="33" t="n">
        <v>12</v>
      </c>
      <c r="F141" s="34" t="inlineStr">
        <is>
          <t xml:space="preserve">3 года </t>
        </is>
      </c>
      <c r="G141" s="138" t="n">
        <v>2106909803</v>
      </c>
      <c r="H141" s="138" t="n">
        <v>2936001013000000</v>
      </c>
      <c r="I141" s="138" t="n">
        <v>737870167433</v>
      </c>
      <c r="J141" s="36" t="inlineStr">
        <is>
          <t>в наличии</t>
        </is>
      </c>
      <c r="K141" s="39" t="n"/>
      <c r="L141" s="139" t="n"/>
      <c r="M141" s="140" t="n"/>
      <c r="N141" s="11" t="n"/>
    </row>
    <row r="142" ht="15.6" customFormat="1" customHeight="1" s="7">
      <c r="A142" s="5" t="n">
        <v>158</v>
      </c>
      <c r="B142" s="107" t="inlineStr">
        <is>
          <t>L E</t>
        </is>
      </c>
      <c r="C142" s="143" t="inlineStr">
        <is>
          <t>Суперкомплекс с Селеном и витамином Е,  100 капсул</t>
        </is>
      </c>
      <c r="D142" s="50" t="n">
        <v>147000</v>
      </c>
      <c r="E142" s="33" t="n">
        <v>24</v>
      </c>
      <c r="F142" s="34" t="inlineStr">
        <is>
          <t xml:space="preserve">3 года </t>
        </is>
      </c>
      <c r="G142" s="138" t="n">
        <v>2106909803</v>
      </c>
      <c r="H142" s="138" t="n">
        <v>2936001013000000</v>
      </c>
      <c r="I142" s="138" t="n">
        <v>737870177814</v>
      </c>
      <c r="J142" s="36" t="inlineStr">
        <is>
          <t>в наличии</t>
        </is>
      </c>
      <c r="K142" s="39" t="n"/>
      <c r="L142" s="139" t="n"/>
      <c r="M142" s="140" t="n"/>
      <c r="N142" s="11" t="n"/>
    </row>
    <row r="143" ht="21.6" customFormat="1" customHeight="1" s="7">
      <c r="A143" s="5" t="n"/>
      <c r="B143" s="74" t="n"/>
      <c r="C143" s="75" t="inlineStr">
        <is>
          <t>Витамины БАД  NATURE'S ANSWER   (США)</t>
        </is>
      </c>
      <c r="D143" s="76" t="n"/>
      <c r="E143" s="77" t="n"/>
      <c r="F143" s="78" t="n"/>
      <c r="G143" s="78" t="n"/>
      <c r="H143" s="152" t="n"/>
      <c r="I143" s="152" t="n"/>
      <c r="J143" s="80" t="n"/>
      <c r="K143" s="97" t="n"/>
      <c r="L143" s="153" t="n"/>
      <c r="M143" s="154" t="n"/>
      <c r="N143" s="11" t="n"/>
    </row>
    <row r="144" ht="15.6" customFormat="1" customHeight="1" s="7">
      <c r="A144" s="5" t="n">
        <v>164</v>
      </c>
      <c r="B144" s="74" t="inlineStr">
        <is>
          <t>N A</t>
        </is>
      </c>
      <c r="C144" s="143" t="inlineStr">
        <is>
          <t>Жидкий малат и глицинат магния  480 мл (16 жидк. унций)</t>
        </is>
      </c>
      <c r="D144" s="50" t="n">
        <v>334000</v>
      </c>
      <c r="E144" s="33" t="n">
        <v>12</v>
      </c>
      <c r="F144" s="34" t="inlineStr">
        <is>
          <t xml:space="preserve">3 года </t>
        </is>
      </c>
      <c r="G144" s="138" t="n">
        <v>2106909803</v>
      </c>
      <c r="H144" s="138" t="n">
        <v>2936001013000000</v>
      </c>
      <c r="I144" s="89" t="inlineStr">
        <is>
          <t>083000261732</t>
        </is>
      </c>
      <c r="J144" s="36" t="inlineStr">
        <is>
          <t>в наличии</t>
        </is>
      </c>
      <c r="K144" s="39" t="n"/>
      <c r="L144" s="139" t="n"/>
      <c r="M144" s="140" t="n"/>
      <c r="N144" s="11" t="n"/>
    </row>
    <row r="145" ht="15.6" customFormat="1" customHeight="1" s="7">
      <c r="A145" s="5" t="n">
        <v>165</v>
      </c>
      <c r="B145" s="74" t="inlineStr">
        <is>
          <t>N A</t>
        </is>
      </c>
      <c r="C145" s="143" t="inlineStr">
        <is>
          <t>Жидкий витамин C, натуральный вкус лимона  240 мл (8 жидк. унций)</t>
        </is>
      </c>
      <c r="D145" s="50" t="n">
        <v>207000</v>
      </c>
      <c r="E145" s="33" t="n">
        <v>12</v>
      </c>
      <c r="F145" s="34" t="inlineStr">
        <is>
          <t xml:space="preserve">3 года </t>
        </is>
      </c>
      <c r="G145" s="138" t="n">
        <v>2106909803</v>
      </c>
      <c r="H145" s="138" t="n">
        <v>2936001013000000</v>
      </c>
      <c r="I145" s="89" t="inlineStr">
        <is>
          <t>083000261152</t>
        </is>
      </c>
      <c r="J145" s="36" t="inlineStr">
        <is>
          <t>в наличии</t>
        </is>
      </c>
      <c r="K145" s="39" t="n"/>
      <c r="L145" s="139" t="n"/>
      <c r="M145" s="140" t="n"/>
      <c r="N145" s="11" t="n"/>
    </row>
    <row r="146" ht="15.6" customFormat="1" customHeight="1" s="7">
      <c r="A146" s="5" t="n">
        <v>166</v>
      </c>
      <c r="B146" s="74" t="inlineStr">
        <is>
          <t>N A</t>
        </is>
      </c>
      <c r="C146" s="143" t="inlineStr">
        <is>
          <t>Жидкий комплекс витаминов группы B, со вкусом мандарина  240 мл (8 жидк. унций)</t>
        </is>
      </c>
      <c r="D146" s="50" t="n">
        <v>251000</v>
      </c>
      <c r="E146" s="33" t="n">
        <v>12</v>
      </c>
      <c r="F146" s="34" t="inlineStr">
        <is>
          <t xml:space="preserve">2 года </t>
        </is>
      </c>
      <c r="G146" s="138" t="n">
        <v>2106909803</v>
      </c>
      <c r="H146" s="138" t="n">
        <v>2936001013000000</v>
      </c>
      <c r="I146" s="89" t="inlineStr">
        <is>
          <t>083000261053</t>
        </is>
      </c>
      <c r="J146" s="36" t="inlineStr">
        <is>
          <t>в наличии</t>
        </is>
      </c>
      <c r="K146" s="39" t="n"/>
      <c r="L146" s="139" t="n"/>
      <c r="M146" s="140" t="n"/>
      <c r="N146" s="11" t="n"/>
    </row>
    <row r="147" ht="15.6" customFormat="1" customHeight="1" s="7">
      <c r="A147" s="5" t="n">
        <v>167</v>
      </c>
      <c r="B147" s="74" t="inlineStr">
        <is>
          <t>N A</t>
        </is>
      </c>
      <c r="C147" s="144" t="inlineStr">
        <is>
          <t>Жидкий хлорофилл, 100 мг  480 мл (16 жидк. унций)</t>
        </is>
      </c>
      <c r="D147" s="50" t="n">
        <v>330000</v>
      </c>
      <c r="E147" s="33" t="n">
        <v>12</v>
      </c>
      <c r="F147" s="34" t="inlineStr">
        <is>
          <t xml:space="preserve">4 года </t>
        </is>
      </c>
      <c r="G147" s="138" t="n">
        <v>2106909803</v>
      </c>
      <c r="H147" s="138" t="n">
        <v>2936001013000000</v>
      </c>
      <c r="I147" s="89" t="inlineStr">
        <is>
          <t>083000261268</t>
        </is>
      </c>
      <c r="J147" s="36" t="inlineStr">
        <is>
          <t>в наличии</t>
        </is>
      </c>
      <c r="K147" s="39" t="n"/>
      <c r="L147" s="139" t="n"/>
      <c r="M147" s="140" t="n"/>
      <c r="N147" s="11" t="n"/>
    </row>
    <row r="148" ht="24" customFormat="1" customHeight="1" s="7">
      <c r="A148" s="5" t="n"/>
      <c r="B148" s="98" t="n"/>
      <c r="C148" s="99" t="inlineStr">
        <is>
          <t>Витамины БАД  SOLARAY   (США)</t>
        </is>
      </c>
      <c r="D148" s="100" t="n"/>
      <c r="E148" s="101" t="n"/>
      <c r="F148" s="102" t="n"/>
      <c r="G148" s="102" t="n"/>
      <c r="H148" s="155" t="n"/>
      <c r="I148" s="155" t="n"/>
      <c r="J148" s="104" t="n"/>
      <c r="K148" s="97" t="n"/>
      <c r="L148" s="156" t="n"/>
      <c r="M148" s="157" t="n"/>
      <c r="N148" s="11" t="n"/>
    </row>
    <row r="149" ht="15.6" customFormat="1" customHeight="1" s="7">
      <c r="A149" s="5" t="n">
        <v>173</v>
      </c>
      <c r="B149" s="98" t="inlineStr">
        <is>
          <t>S</t>
        </is>
      </c>
      <c r="C149" s="143" t="inlineStr">
        <is>
          <t>Life-flo, жидкий йод плюс с йодидом калия и йодом, с нейтральным вкусом,  59 мл</t>
        </is>
      </c>
      <c r="D149" s="50" t="n">
        <v>129000</v>
      </c>
      <c r="E149" s="33" t="n">
        <v>6</v>
      </c>
      <c r="F149" s="34" t="inlineStr">
        <is>
          <t xml:space="preserve">2 года </t>
        </is>
      </c>
      <c r="G149" s="138" t="n">
        <v>2106909803</v>
      </c>
      <c r="H149" s="138" t="n">
        <v>2936001013000000</v>
      </c>
      <c r="I149" s="89" t="inlineStr">
        <is>
          <t>645951915470</t>
        </is>
      </c>
      <c r="J149" s="36" t="inlineStr">
        <is>
          <t>в наличии</t>
        </is>
      </c>
      <c r="K149" s="39" t="n"/>
      <c r="L149" s="139" t="n"/>
      <c r="M149" s="140" t="n"/>
      <c r="N149" s="11" t="n"/>
    </row>
    <row r="150" ht="15.6" customFormat="1" customHeight="1" s="7">
      <c r="A150" s="5" t="n">
        <v>174</v>
      </c>
      <c r="B150" s="98" t="inlineStr">
        <is>
          <t>S</t>
        </is>
      </c>
      <c r="C150" s="143" t="inlineStr">
        <is>
          <t>BioMagic - Йод,  25 мл</t>
        </is>
      </c>
      <c r="D150" s="50" t="n">
        <v>120000</v>
      </c>
      <c r="E150" s="33" t="n">
        <v>54</v>
      </c>
      <c r="F150" s="34" t="inlineStr">
        <is>
          <t xml:space="preserve">3 года </t>
        </is>
      </c>
      <c r="G150" s="138" t="n">
        <v>2106909803</v>
      </c>
      <c r="H150" s="138" t="n">
        <v>2936001013000000</v>
      </c>
      <c r="I150" s="89" t="inlineStr">
        <is>
          <t>4640257720199</t>
        </is>
      </c>
      <c r="J150" s="36" t="inlineStr">
        <is>
          <t>в наличии</t>
        </is>
      </c>
      <c r="K150" s="39" t="n"/>
      <c r="L150" s="139" t="n"/>
      <c r="M150" s="140" t="n"/>
      <c r="N150" s="11" t="n"/>
    </row>
    <row r="151" ht="15.6" customFormat="1" customHeight="1" s="7">
      <c r="A151" s="5" t="n">
        <v>175</v>
      </c>
      <c r="B151" s="98" t="inlineStr">
        <is>
          <t>S</t>
        </is>
      </c>
      <c r="C151" s="143" t="inlineStr">
        <is>
          <t>BioMagic - Йод,  L-Селеноцистеин  25 мл</t>
        </is>
      </c>
      <c r="D151" s="50" t="n">
        <v>140000</v>
      </c>
      <c r="E151" s="33" t="n">
        <v>54</v>
      </c>
      <c r="F151" s="34" t="inlineStr">
        <is>
          <t xml:space="preserve">1 года </t>
        </is>
      </c>
      <c r="G151" s="138" t="n">
        <v>2106909803</v>
      </c>
      <c r="H151" s="138" t="n">
        <v>2936001013000000</v>
      </c>
      <c r="I151" s="89" t="inlineStr">
        <is>
          <t>4640257720205</t>
        </is>
      </c>
      <c r="J151" s="36" t="inlineStr">
        <is>
          <t>в наличии</t>
        </is>
      </c>
      <c r="K151" s="39" t="n"/>
      <c r="L151" s="139" t="n"/>
      <c r="M151" s="140" t="n"/>
      <c r="N151" s="11" t="n"/>
    </row>
    <row r="152" ht="15.6" customFormat="1" customHeight="1" s="7">
      <c r="A152" s="5" t="n">
        <v>176</v>
      </c>
      <c r="B152" s="98" t="inlineStr">
        <is>
          <t>S</t>
        </is>
      </c>
      <c r="C152" s="144" t="inlineStr">
        <is>
          <t>Артишок  600 мг,  60 растительных капсул (300 мг в 1 капсуле)</t>
        </is>
      </c>
      <c r="D152" s="50" t="n">
        <v>181000</v>
      </c>
      <c r="E152" s="33" t="n">
        <v>6</v>
      </c>
      <c r="F152" s="34" t="inlineStr">
        <is>
          <t xml:space="preserve">3,5 года </t>
        </is>
      </c>
      <c r="G152" s="138" t="n">
        <v>2106909803</v>
      </c>
      <c r="H152" s="138" t="n">
        <v>2936001013000000</v>
      </c>
      <c r="I152" s="89" t="inlineStr">
        <is>
          <t>076280030808</t>
        </is>
      </c>
      <c r="J152" s="36" t="inlineStr">
        <is>
          <t>в наличии</t>
        </is>
      </c>
      <c r="K152" s="39" t="n"/>
      <c r="L152" s="139" t="n"/>
      <c r="M152" s="140" t="n"/>
      <c r="N152" s="11" t="n"/>
    </row>
    <row r="153" ht="15.6" customFormat="1" customHeight="1" s="7">
      <c r="A153" s="5" t="n">
        <v>177</v>
      </c>
      <c r="B153" s="98" t="inlineStr">
        <is>
          <t>S</t>
        </is>
      </c>
      <c r="C153" s="144" t="inlineStr">
        <is>
          <t>Цитрат магния  400 мг,  90 капсул (133 мг в 1 капсуле)</t>
        </is>
      </c>
      <c r="D153" s="50" t="n">
        <v>177000</v>
      </c>
      <c r="E153" s="33" t="n">
        <v>6</v>
      </c>
      <c r="F153" s="34" t="inlineStr">
        <is>
          <t xml:space="preserve">3,5 года </t>
        </is>
      </c>
      <c r="G153" s="138" t="n">
        <v>2106909803</v>
      </c>
      <c r="H153" s="138" t="n">
        <v>2936001013000000</v>
      </c>
      <c r="I153" s="89" t="inlineStr">
        <is>
          <t>076280463019</t>
        </is>
      </c>
      <c r="J153" s="36" t="inlineStr">
        <is>
          <t>в наличии</t>
        </is>
      </c>
      <c r="K153" s="39" t="n"/>
      <c r="L153" s="139" t="n"/>
      <c r="M153" s="140" t="n"/>
      <c r="N153" s="11" t="n"/>
    </row>
    <row r="154" ht="15.6" customFormat="1" customHeight="1" s="7">
      <c r="A154" s="5" t="n">
        <v>178</v>
      </c>
      <c r="B154" s="98" t="inlineStr">
        <is>
          <t>S</t>
        </is>
      </c>
      <c r="C154" s="144" t="inlineStr">
        <is>
          <t>Цитрат магния  400 мг,  180 капсул (133 мг в 1 капсуле)</t>
        </is>
      </c>
      <c r="D154" s="50" t="n">
        <v>304000</v>
      </c>
      <c r="E154" s="33" t="n">
        <v>6</v>
      </c>
      <c r="F154" s="34" t="inlineStr">
        <is>
          <t xml:space="preserve">3 года </t>
        </is>
      </c>
      <c r="G154" s="138" t="n">
        <v>2106909803</v>
      </c>
      <c r="H154" s="138" t="n">
        <v>2936001013000000</v>
      </c>
      <c r="I154" s="89" t="inlineStr">
        <is>
          <t>076280374025</t>
        </is>
      </c>
      <c r="J154" s="36" t="inlineStr">
        <is>
          <t>в наличии</t>
        </is>
      </c>
      <c r="K154" s="39" t="n"/>
      <c r="L154" s="139" t="n"/>
      <c r="M154" s="140" t="n"/>
      <c r="N154" s="11" t="n"/>
    </row>
    <row r="155" ht="15.6" customFormat="1" customHeight="1" s="7">
      <c r="A155" s="5" t="n">
        <v>179</v>
      </c>
      <c r="B155" s="98" t="inlineStr">
        <is>
          <t>S</t>
        </is>
      </c>
      <c r="C155" s="144" t="inlineStr">
        <is>
          <t>Цитрат цинка 50 мг,  с тыквенными семечками, 60 вегетарианских капсул</t>
        </is>
      </c>
      <c r="D155" s="50" t="n">
        <v>91000</v>
      </c>
      <c r="E155" s="33" t="n">
        <v>12</v>
      </c>
      <c r="F155" s="34" t="inlineStr">
        <is>
          <t xml:space="preserve">3,5 года </t>
        </is>
      </c>
      <c r="G155" s="138" t="n">
        <v>2106909803</v>
      </c>
      <c r="H155" s="138" t="n">
        <v>2936001013000000</v>
      </c>
      <c r="I155" s="89" t="inlineStr">
        <is>
          <t>076280471021</t>
        </is>
      </c>
      <c r="J155" s="36" t="inlineStr">
        <is>
          <t>в наличии</t>
        </is>
      </c>
      <c r="K155" s="39" t="n"/>
      <c r="L155" s="139" t="n"/>
      <c r="M155" s="140" t="n"/>
      <c r="N155" s="11" t="n"/>
    </row>
    <row r="156" ht="15.6" customFormat="1" customHeight="1" s="7">
      <c r="A156" s="5" t="n">
        <v>180</v>
      </c>
      <c r="B156" s="98" t="inlineStr">
        <is>
          <t>S</t>
        </is>
      </c>
      <c r="C156" s="144" t="inlineStr">
        <is>
          <t xml:space="preserve">Глицинат магния 350 мг,  с высокой степенью усвоения,  120 капсул </t>
        </is>
      </c>
      <c r="D156" s="50" t="n">
        <v>266000</v>
      </c>
      <c r="E156" s="33" t="n">
        <v>6</v>
      </c>
      <c r="F156" s="34" t="inlineStr">
        <is>
          <t xml:space="preserve">3,5 года </t>
        </is>
      </c>
      <c r="G156" s="138" t="n">
        <v>2106909803</v>
      </c>
      <c r="H156" s="138" t="n">
        <v>2936001013000000</v>
      </c>
      <c r="I156" s="89" t="inlineStr">
        <is>
          <t>076280549010</t>
        </is>
      </c>
      <c r="J156" s="36" t="inlineStr">
        <is>
          <t>в наличии</t>
        </is>
      </c>
      <c r="K156" s="39" t="n"/>
      <c r="L156" s="139" t="n"/>
      <c r="M156" s="140" t="n"/>
      <c r="N156" s="11" t="n"/>
    </row>
    <row r="157" ht="15.6" customFormat="1" customHeight="1" s="7">
      <c r="A157" s="5" t="n">
        <v>181</v>
      </c>
      <c r="B157" s="98" t="inlineStr">
        <is>
          <t>S</t>
        </is>
      </c>
      <c r="C157" s="143" t="inlineStr">
        <is>
          <t xml:space="preserve">Глицинат магния 350 мг,  с высокой степенью усвоения,  240 капсул </t>
        </is>
      </c>
      <c r="D157" s="50" t="n">
        <v>488000</v>
      </c>
      <c r="E157" s="33" t="n">
        <v>6</v>
      </c>
      <c r="F157" s="34" t="inlineStr">
        <is>
          <t xml:space="preserve">3,5 года </t>
        </is>
      </c>
      <c r="G157" s="138" t="n">
        <v>2106909803</v>
      </c>
      <c r="H157" s="138" t="n">
        <v>2936001013000000</v>
      </c>
      <c r="I157" s="89" t="inlineStr">
        <is>
          <t>076280895049</t>
        </is>
      </c>
      <c r="J157" s="36" t="inlineStr">
        <is>
          <t>в наличии</t>
        </is>
      </c>
      <c r="K157" s="39" t="n"/>
      <c r="L157" s="139" t="n"/>
      <c r="M157" s="140" t="n"/>
      <c r="N157" s="11" t="n"/>
    </row>
    <row r="158" ht="15.6" customFormat="1" customHeight="1" s="7">
      <c r="A158" s="5" t="n">
        <v>182</v>
      </c>
      <c r="B158" s="98" t="inlineStr">
        <is>
          <t>S</t>
        </is>
      </c>
      <c r="C158" s="143" t="inlineStr">
        <is>
          <t>Витамины D3 и K2  125мкг/50мкг,  без сои,  60 растительных капсул</t>
        </is>
      </c>
      <c r="D158" s="50" t="n">
        <v>219000</v>
      </c>
      <c r="E158" s="33" t="n">
        <v>6</v>
      </c>
      <c r="F158" s="34" t="inlineStr">
        <is>
          <t xml:space="preserve">3,5 года </t>
        </is>
      </c>
      <c r="G158" s="138" t="n">
        <v>2106909803</v>
      </c>
      <c r="H158" s="138" t="n">
        <v>2936001013000000</v>
      </c>
      <c r="I158" s="89" t="inlineStr">
        <is>
          <t>076280385847</t>
        </is>
      </c>
      <c r="J158" s="36" t="inlineStr">
        <is>
          <t>в наличии</t>
        </is>
      </c>
      <c r="K158" s="39" t="n"/>
      <c r="L158" s="139" t="n"/>
      <c r="M158" s="140" t="n"/>
      <c r="N158" s="11" t="n"/>
    </row>
    <row r="159" ht="15.6" customFormat="1" customHeight="1" s="7">
      <c r="A159" s="5" t="n">
        <v>183</v>
      </c>
      <c r="B159" s="98" t="inlineStr">
        <is>
          <t>S</t>
        </is>
      </c>
      <c r="C159" s="144" t="inlineStr">
        <is>
          <t>Витамины D3 и K2  125мкг/50мкг,  без сои,  120 растительных капсул</t>
        </is>
      </c>
      <c r="D159" s="50" t="n">
        <v>389000</v>
      </c>
      <c r="E159" s="33" t="n">
        <v>12</v>
      </c>
      <c r="F159" s="34" t="inlineStr">
        <is>
          <t xml:space="preserve">3,5 года </t>
        </is>
      </c>
      <c r="G159" s="138" t="n">
        <v>2106909803</v>
      </c>
      <c r="H159" s="138" t="n">
        <v>2936001013000000</v>
      </c>
      <c r="I159" s="89" t="inlineStr">
        <is>
          <t>076280574456</t>
        </is>
      </c>
      <c r="J159" s="36" t="inlineStr">
        <is>
          <t>в наличии</t>
        </is>
      </c>
      <c r="K159" s="39" t="n"/>
      <c r="L159" s="139" t="n"/>
      <c r="M159" s="140" t="n"/>
      <c r="N159" s="11" t="n"/>
    </row>
    <row r="160" ht="15.6" customFormat="1" customHeight="1" s="7">
      <c r="A160" s="5" t="n">
        <v>184</v>
      </c>
      <c r="B160" s="98" t="inlineStr">
        <is>
          <t>S</t>
        </is>
      </c>
      <c r="C160" s="144" t="inlineStr">
        <is>
          <t>Селен  200 мкг,  90 капсул в растительной оболочке</t>
        </is>
      </c>
      <c r="D160" s="50" t="n">
        <v>146000</v>
      </c>
      <c r="E160" s="33" t="n">
        <v>12</v>
      </c>
      <c r="F160" s="34" t="inlineStr">
        <is>
          <t xml:space="preserve">3,5 года </t>
        </is>
      </c>
      <c r="G160" s="138" t="n">
        <v>2106909803</v>
      </c>
      <c r="H160" s="138" t="n">
        <v>2936001013000000</v>
      </c>
      <c r="I160" s="89" t="inlineStr">
        <is>
          <t>076280046786</t>
        </is>
      </c>
      <c r="J160" s="36" t="inlineStr">
        <is>
          <t>в наличии</t>
        </is>
      </c>
      <c r="K160" s="39" t="n"/>
      <c r="L160" s="139" t="n"/>
      <c r="M160" s="140" t="n"/>
      <c r="N160" s="11" t="n"/>
    </row>
    <row r="161" ht="15.6" customFormat="1" customHeight="1" s="7">
      <c r="A161" s="5" t="n">
        <v>185</v>
      </c>
      <c r="B161" s="98" t="inlineStr">
        <is>
          <t>S</t>
        </is>
      </c>
      <c r="C161" s="144" t="inlineStr">
        <is>
          <t>L-лизин и монолаурин, в соотношении 1:1,  60 вегетарианских капсул</t>
        </is>
      </c>
      <c r="D161" s="50" t="n">
        <v>176000</v>
      </c>
      <c r="E161" s="33" t="n">
        <v>12</v>
      </c>
      <c r="F161" s="34" t="inlineStr">
        <is>
          <t xml:space="preserve">3,5 года </t>
        </is>
      </c>
      <c r="G161" s="138" t="n">
        <v>2106909803</v>
      </c>
      <c r="H161" s="138" t="n">
        <v>2936001013000000</v>
      </c>
      <c r="I161" s="89" t="inlineStr">
        <is>
          <t>076280352818</t>
        </is>
      </c>
      <c r="J161" s="36" t="inlineStr">
        <is>
          <t>в наличии</t>
        </is>
      </c>
      <c r="K161" s="39" t="n"/>
      <c r="L161" s="139" t="n"/>
      <c r="M161" s="140" t="n"/>
      <c r="N161" s="11" t="n"/>
    </row>
    <row r="162" ht="15.6" customFormat="1" customHeight="1" s="7">
      <c r="A162" s="5" t="n">
        <v>186</v>
      </c>
      <c r="B162" s="98" t="inlineStr">
        <is>
          <t>S</t>
        </is>
      </c>
      <c r="C162" s="144" t="inlineStr">
        <is>
          <t>Пиколинат хрома  200 мкг,  100 таблеток</t>
        </is>
      </c>
      <c r="D162" s="50" t="n">
        <v>117000</v>
      </c>
      <c r="E162" s="33" t="n">
        <v>6</v>
      </c>
      <c r="F162" s="34" t="inlineStr">
        <is>
          <t xml:space="preserve">3,5 года </t>
        </is>
      </c>
      <c r="G162" s="138" t="n">
        <v>2106909803</v>
      </c>
      <c r="H162" s="138" t="n">
        <v>2936001013000000</v>
      </c>
      <c r="I162" s="89" t="inlineStr">
        <is>
          <t>076280045895</t>
        </is>
      </c>
      <c r="J162" s="36" t="inlineStr">
        <is>
          <t>в наличии</t>
        </is>
      </c>
      <c r="K162" s="39" t="n"/>
      <c r="L162" s="139" t="n"/>
      <c r="M162" s="140" t="n"/>
      <c r="N162" s="11" t="n"/>
    </row>
    <row r="163" ht="15.6" customFormat="1" customHeight="1" s="7">
      <c r="A163" s="5" t="n">
        <v>187</v>
      </c>
      <c r="B163" s="98" t="inlineStr">
        <is>
          <t>S</t>
        </is>
      </c>
      <c r="C163" s="144" t="inlineStr">
        <is>
          <t>Берберин  500 мг,  60 вегетарианских капсул</t>
        </is>
      </c>
      <c r="D163" s="50" t="n">
        <v>292000</v>
      </c>
      <c r="E163" s="33" t="n">
        <v>6</v>
      </c>
      <c r="F163" s="34" t="inlineStr">
        <is>
          <t xml:space="preserve">3,5 года </t>
        </is>
      </c>
      <c r="G163" s="138" t="n">
        <v>2106909803</v>
      </c>
      <c r="H163" s="138" t="n">
        <v>2936001013000000</v>
      </c>
      <c r="I163" s="89" t="inlineStr">
        <is>
          <t>076280477054</t>
        </is>
      </c>
      <c r="J163" s="36" t="inlineStr">
        <is>
          <t>в наличии</t>
        </is>
      </c>
      <c r="K163" s="39" t="n"/>
      <c r="L163" s="139" t="n"/>
      <c r="M163" s="140" t="n"/>
      <c r="N163" s="11" t="n"/>
    </row>
    <row r="164" ht="25.2" customFormat="1" customHeight="1" s="7">
      <c r="A164" s="5" t="n"/>
      <c r="B164" s="119" t="n"/>
      <c r="C164" s="120" t="inlineStr">
        <is>
          <t>Витамины БАД  CARLSON   (США)</t>
        </is>
      </c>
      <c r="D164" s="121" t="n"/>
      <c r="E164" s="122" t="n"/>
      <c r="F164" s="123" t="n"/>
      <c r="G164" s="123" t="n"/>
      <c r="H164" s="158" t="n"/>
      <c r="I164" s="158" t="n"/>
      <c r="J164" s="125" t="n"/>
      <c r="K164" s="97" t="n"/>
      <c r="L164" s="159" t="n"/>
      <c r="M164" s="160" t="n"/>
      <c r="N164" s="11" t="n"/>
    </row>
    <row r="165" ht="27.6" customFormat="1" customHeight="1" s="7">
      <c r="A165" s="5" t="n">
        <v>220</v>
      </c>
      <c r="B165" s="119" t="inlineStr">
        <is>
          <t>C</t>
        </is>
      </c>
      <c r="C165" s="141" t="inlineStr">
        <is>
          <t>Maximum Omega 2000 мг, омега с натуральным лимонным вкусом, 30 капсул (1000 мг в 1 капсуле)</t>
        </is>
      </c>
      <c r="D165" s="50" t="n">
        <v>177000</v>
      </c>
      <c r="E165" s="33" t="n">
        <v>12</v>
      </c>
      <c r="F165" s="34" t="inlineStr">
        <is>
          <t xml:space="preserve">3 года </t>
        </is>
      </c>
      <c r="G165" s="138" t="n">
        <v>2106909803</v>
      </c>
      <c r="H165" s="138" t="n">
        <v>2936001013000000</v>
      </c>
      <c r="I165" s="89" t="inlineStr">
        <is>
          <t>088395600203</t>
        </is>
      </c>
      <c r="J165" s="36" t="inlineStr">
        <is>
          <t>в наличии</t>
        </is>
      </c>
      <c r="K165" s="39" t="n"/>
      <c r="L165" s="139" t="n"/>
      <c r="M165" s="140" t="n"/>
      <c r="N165" s="11" t="n"/>
    </row>
    <row r="166" ht="16.2" customFormat="1" customHeight="1" s="7">
      <c r="A166" s="5" t="n">
        <v>221</v>
      </c>
      <c r="B166" s="119" t="inlineStr">
        <is>
          <t>C</t>
        </is>
      </c>
      <c r="C166" s="144" t="inlineStr">
        <is>
          <t>Super Omega-3, высокоэффективные омега-3 кислоты из рыбы дикого улова, 100 + 30 капсул</t>
        </is>
      </c>
      <c r="D166" s="50" t="n">
        <v>446000</v>
      </c>
      <c r="E166" s="33" t="n">
        <v>11</v>
      </c>
      <c r="F166" s="34" t="inlineStr">
        <is>
          <t xml:space="preserve">3 года </t>
        </is>
      </c>
      <c r="G166" s="138" t="n">
        <v>2106909803</v>
      </c>
      <c r="H166" s="138" t="n">
        <v>2936001013000000</v>
      </c>
      <c r="I166" s="89" t="inlineStr">
        <is>
          <t>088395015243</t>
        </is>
      </c>
      <c r="J166" s="36" t="inlineStr">
        <is>
          <t>в наличии</t>
        </is>
      </c>
      <c r="K166" s="39" t="n"/>
      <c r="L166" s="139" t="n"/>
      <c r="M166" s="140" t="n"/>
      <c r="N166" s="11" t="n"/>
    </row>
    <row r="167" ht="16.2" customFormat="1" customHeight="1" s="7">
      <c r="A167" s="5" t="n">
        <v>222</v>
      </c>
      <c r="B167" s="119" t="inlineStr">
        <is>
          <t>C</t>
        </is>
      </c>
      <c r="C167" s="144" t="inlineStr">
        <is>
          <t>Super Omega-3, высокоэффективные омега-3 кислоты из рыбы дикого улова, 50 капсул</t>
        </is>
      </c>
      <c r="D167" s="50" t="n">
        <v>179000</v>
      </c>
      <c r="E167" s="33" t="n">
        <v>18</v>
      </c>
      <c r="F167" s="34" t="inlineStr">
        <is>
          <t xml:space="preserve">3 года </t>
        </is>
      </c>
      <c r="G167" s="138" t="n">
        <v>2106909803</v>
      </c>
      <c r="H167" s="138" t="n">
        <v>2936001013000000</v>
      </c>
      <c r="I167" s="89" t="inlineStr">
        <is>
          <t>088395015205</t>
        </is>
      </c>
      <c r="J167" s="36" t="inlineStr">
        <is>
          <t>в наличии</t>
        </is>
      </c>
      <c r="K167" s="39" t="n"/>
      <c r="L167" s="139" t="n"/>
      <c r="M167" s="140" t="n"/>
      <c r="N167" s="11" t="n"/>
    </row>
    <row r="168" ht="27.6" customFormat="1" customHeight="1" s="7">
      <c r="A168" s="5" t="n">
        <v>223</v>
      </c>
      <c r="B168" s="119" t="inlineStr">
        <is>
          <t>C</t>
        </is>
      </c>
      <c r="C168" s="141" t="inlineStr">
        <is>
          <t>Самый лучший рыбий жир, норвежская серия, с натуральным лимонным вкусом 800 мг,  200 мл</t>
        </is>
      </c>
      <c r="D168" s="50" t="n">
        <v>447000</v>
      </c>
      <c r="E168" s="33" t="n">
        <v>12</v>
      </c>
      <c r="F168" s="34" t="inlineStr">
        <is>
          <t xml:space="preserve">3 года </t>
        </is>
      </c>
      <c r="G168" s="138" t="n">
        <v>2106909803</v>
      </c>
      <c r="H168" s="138" t="n">
        <v>2936001013000000</v>
      </c>
      <c r="I168" s="89" t="inlineStr">
        <is>
          <t>088395015434</t>
        </is>
      </c>
      <c r="J168" s="36" t="inlineStr">
        <is>
          <t>в наличии</t>
        </is>
      </c>
      <c r="K168" s="39" t="n"/>
      <c r="L168" s="139" t="n"/>
      <c r="M168" s="140" t="n"/>
      <c r="N168" s="11" t="n"/>
    </row>
    <row r="169" ht="18" customFormat="1" customHeight="1" s="7">
      <c r="A169" s="5" t="n">
        <v>224</v>
      </c>
      <c r="B169" s="119" t="inlineStr">
        <is>
          <t>C</t>
        </is>
      </c>
      <c r="C169" s="144" t="inlineStr">
        <is>
          <t>Глицинат магния 200 мг,  90 таблеток</t>
        </is>
      </c>
      <c r="D169" s="50" t="n">
        <v>252000</v>
      </c>
      <c r="E169" s="33" t="n">
        <v>18</v>
      </c>
      <c r="F169" s="34" t="inlineStr">
        <is>
          <t xml:space="preserve">4 года </t>
        </is>
      </c>
      <c r="G169" s="138" t="n">
        <v>2106909803</v>
      </c>
      <c r="H169" s="138" t="n">
        <v>2936001013000000</v>
      </c>
      <c r="I169" s="89" t="inlineStr">
        <is>
          <t>088395056116</t>
        </is>
      </c>
      <c r="J169" s="36" t="inlineStr">
        <is>
          <t>в наличии</t>
        </is>
      </c>
      <c r="K169" s="39" t="n"/>
      <c r="L169" s="139" t="n"/>
      <c r="M169" s="140" t="n"/>
      <c r="N169" s="11" t="n"/>
    </row>
    <row r="170" ht="18" customFormat="1" customHeight="1" s="7">
      <c r="A170" s="5" t="n">
        <v>225</v>
      </c>
      <c r="B170" s="119" t="inlineStr">
        <is>
          <t>C</t>
        </is>
      </c>
      <c r="C170" s="144" t="inlineStr">
        <is>
          <t>Глицинат магния 200 мг,  180 таблеток</t>
        </is>
      </c>
      <c r="D170" s="50" t="n">
        <v>472000</v>
      </c>
      <c r="E170" s="33" t="n">
        <v>12</v>
      </c>
      <c r="F170" s="34" t="inlineStr">
        <is>
          <t xml:space="preserve">4 года </t>
        </is>
      </c>
      <c r="G170" s="138" t="n">
        <v>2106909803</v>
      </c>
      <c r="H170" s="138" t="n">
        <v>2936001013000000</v>
      </c>
      <c r="I170" s="89" t="inlineStr">
        <is>
          <t>088395056123</t>
        </is>
      </c>
      <c r="J170" s="36" t="inlineStr">
        <is>
          <t>в наличии</t>
        </is>
      </c>
      <c r="K170" s="39" t="n"/>
      <c r="L170" s="139" t="n"/>
      <c r="M170" s="140" t="n"/>
      <c r="N170" s="11" t="n"/>
    </row>
    <row r="171" ht="18" customFormat="1" customHeight="1" s="7">
      <c r="A171" s="5" t="n">
        <v>226</v>
      </c>
      <c r="B171" s="119" t="inlineStr">
        <is>
          <t>C</t>
        </is>
      </c>
      <c r="C171" s="144" t="inlineStr">
        <is>
          <t xml:space="preserve">Глицинат магния 400 мг,  120 таблеток </t>
        </is>
      </c>
      <c r="D171" s="50" t="n">
        <v>335000</v>
      </c>
      <c r="E171" s="33" t="n">
        <v>12</v>
      </c>
      <c r="F171" s="34" t="inlineStr">
        <is>
          <t xml:space="preserve">4 года </t>
        </is>
      </c>
      <c r="G171" s="138" t="n">
        <v>2106909803</v>
      </c>
      <c r="H171" s="138" t="n">
        <v>2936001013000000</v>
      </c>
      <c r="I171" s="89" t="inlineStr">
        <is>
          <t>088395562105</t>
        </is>
      </c>
      <c r="J171" s="36" t="inlineStr">
        <is>
          <t>в наличии</t>
        </is>
      </c>
      <c r="K171" s="39" t="n"/>
      <c r="L171" s="139" t="n"/>
      <c r="M171" s="140" t="n"/>
      <c r="N171" s="11" t="n"/>
    </row>
    <row r="172" ht="18" customFormat="1" customHeight="1" s="7">
      <c r="A172" s="5" t="n">
        <v>227</v>
      </c>
      <c r="B172" s="119" t="inlineStr">
        <is>
          <t>C</t>
        </is>
      </c>
      <c r="C172" s="144" t="inlineStr">
        <is>
          <t>Витамины D3 и K2,  30 вегетарианских капсул</t>
        </is>
      </c>
      <c r="D172" s="50" t="n">
        <v>113000</v>
      </c>
      <c r="E172" s="33" t="n">
        <v>48</v>
      </c>
      <c r="F172" s="34" t="inlineStr">
        <is>
          <t xml:space="preserve">3 года </t>
        </is>
      </c>
      <c r="G172" s="138" t="n">
        <v>2106909803</v>
      </c>
      <c r="H172" s="138" t="n">
        <v>2936001013000000</v>
      </c>
      <c r="I172" s="89" t="inlineStr">
        <is>
          <t>088395106002</t>
        </is>
      </c>
      <c r="J172" s="36" t="inlineStr">
        <is>
          <t>в наличии</t>
        </is>
      </c>
      <c r="K172" s="39" t="n"/>
      <c r="L172" s="139" t="n"/>
      <c r="M172" s="140" t="n"/>
      <c r="N172" s="11" t="n"/>
    </row>
    <row r="173" ht="18" customFormat="1" customHeight="1" s="7">
      <c r="A173" s="5" t="n">
        <v>228</v>
      </c>
      <c r="B173" s="119" t="inlineStr">
        <is>
          <t>C</t>
        </is>
      </c>
      <c r="C173" s="144" t="inlineStr">
        <is>
          <t>Super Daily  витамин D3 для детей, 10 мкг (400 МЕ)  10,3 мл</t>
        </is>
      </c>
      <c r="D173" s="50" t="n">
        <v>173000</v>
      </c>
      <c r="E173" s="33" t="n">
        <v>24</v>
      </c>
      <c r="F173" s="34" t="inlineStr">
        <is>
          <t xml:space="preserve">4 года </t>
        </is>
      </c>
      <c r="G173" s="138" t="n">
        <v>2106909803</v>
      </c>
      <c r="H173" s="138" t="n">
        <v>2936001013000000</v>
      </c>
      <c r="I173" s="89" t="inlineStr">
        <is>
          <t>088395012501</t>
        </is>
      </c>
      <c r="J173" s="36" t="inlineStr">
        <is>
          <t>в наличии</t>
        </is>
      </c>
      <c r="K173" s="39" t="n"/>
      <c r="L173" s="139" t="n"/>
      <c r="M173" s="140" t="n"/>
      <c r="N173" s="11" t="n"/>
    </row>
    <row r="174" ht="18" customFormat="1" customHeight="1" s="7">
      <c r="A174" s="5" t="n">
        <v>229</v>
      </c>
      <c r="B174" s="119" t="inlineStr">
        <is>
          <t>C</t>
        </is>
      </c>
      <c r="C174" s="144" t="inlineStr">
        <is>
          <t>Super Daily D3+K2 для детей, 25 мкг (1000 МЕ) и 22,5 мкг  10,16 мл</t>
        </is>
      </c>
      <c r="D174" s="50" t="n">
        <v>328000</v>
      </c>
      <c r="E174" s="33" t="n">
        <v>24</v>
      </c>
      <c r="F174" s="34" t="inlineStr">
        <is>
          <t xml:space="preserve">4 года </t>
        </is>
      </c>
      <c r="G174" s="138" t="n">
        <v>2106909803</v>
      </c>
      <c r="H174" s="138" t="n">
        <v>2936001013000000</v>
      </c>
      <c r="I174" s="89" t="inlineStr">
        <is>
          <t>088395105302</t>
        </is>
      </c>
      <c r="J174" s="36" t="inlineStr">
        <is>
          <t>в наличии</t>
        </is>
      </c>
      <c r="K174" s="39" t="n"/>
      <c r="L174" s="139" t="n"/>
      <c r="M174" s="140" t="n"/>
      <c r="N174" s="11" t="n"/>
    </row>
    <row r="175" ht="18" customFormat="1" customHeight="1" s="7">
      <c r="A175" s="5" t="n">
        <v>230</v>
      </c>
      <c r="B175" s="119" t="inlineStr">
        <is>
          <t>C</t>
        </is>
      </c>
      <c r="C175" s="144" t="inlineStr">
        <is>
          <t>Wild Norwegian, жир печени дикой норвежской трески, высшего качества, 1000 мг, 100 капсул</t>
        </is>
      </c>
      <c r="D175" s="50" t="n">
        <v>290000</v>
      </c>
      <c r="E175" s="33" t="n">
        <v>18</v>
      </c>
      <c r="F175" s="34" t="inlineStr">
        <is>
          <t xml:space="preserve">3 года </t>
        </is>
      </c>
      <c r="G175" s="138" t="n">
        <v>2106909803</v>
      </c>
      <c r="H175" s="138" t="n">
        <v>2936001013000000</v>
      </c>
      <c r="I175" s="89" t="inlineStr">
        <is>
          <t>088395013010</t>
        </is>
      </c>
      <c r="J175" s="36" t="inlineStr">
        <is>
          <t>в наличии</t>
        </is>
      </c>
      <c r="K175" s="39" t="n"/>
      <c r="L175" s="139" t="n"/>
      <c r="M175" s="140" t="n"/>
      <c r="N175" s="11" t="n"/>
    </row>
    <row r="176" ht="27.6" customFormat="1" customHeight="1" s="7">
      <c r="A176" s="5" t="n">
        <v>231</v>
      </c>
      <c r="B176" s="119" t="inlineStr">
        <is>
          <t>C</t>
        </is>
      </c>
      <c r="C176" s="141" t="inlineStr">
        <is>
          <t>Детские жевательные таблетки с железом, натуральный клубничный ароматизатор, 15 мг  60 таблеток</t>
        </is>
      </c>
      <c r="D176" s="50" t="n">
        <v>134000</v>
      </c>
      <c r="E176" s="33" t="n">
        <v>30</v>
      </c>
      <c r="F176" s="34" t="inlineStr">
        <is>
          <t xml:space="preserve">3 года </t>
        </is>
      </c>
      <c r="G176" s="138" t="n">
        <v>2106909803</v>
      </c>
      <c r="H176" s="138" t="n">
        <v>2936001013000000</v>
      </c>
      <c r="I176" s="89" t="inlineStr">
        <is>
          <t>088395559402</t>
        </is>
      </c>
      <c r="J176" s="36" t="inlineStr">
        <is>
          <t>в наличии</t>
        </is>
      </c>
      <c r="K176" s="39" t="n"/>
      <c r="L176" s="139" t="n"/>
      <c r="M176" s="140" t="n"/>
      <c r="N176" s="11" t="n"/>
    </row>
    <row r="177" ht="15.6" customFormat="1" customHeight="1" s="7">
      <c r="A177" s="5" t="n">
        <v>232</v>
      </c>
      <c r="B177" s="119" t="inlineStr">
        <is>
          <t>C</t>
        </is>
      </c>
      <c r="C177" s="144" t="inlineStr">
        <is>
          <t>Детские жевательные капсулы ДГК для детей, апельсин  60 капсул</t>
        </is>
      </c>
      <c r="D177" s="50" t="n">
        <v>156000</v>
      </c>
      <c r="E177" s="33" t="n">
        <v>30</v>
      </c>
      <c r="F177" s="34" t="inlineStr">
        <is>
          <t xml:space="preserve">3 года </t>
        </is>
      </c>
      <c r="G177" s="138" t="n">
        <v>2106909803</v>
      </c>
      <c r="H177" s="138" t="n">
        <v>2936001013000000</v>
      </c>
      <c r="I177" s="89" t="inlineStr">
        <is>
          <t>088395015700</t>
        </is>
      </c>
      <c r="J177" s="36" t="inlineStr">
        <is>
          <t>в наличии</t>
        </is>
      </c>
      <c r="K177" s="39" t="n"/>
      <c r="L177" s="139" t="n"/>
      <c r="M177" s="140" t="n"/>
      <c r="N177" s="11" t="n"/>
    </row>
    <row r="178" ht="22.8" customFormat="1" customHeight="1" s="25">
      <c r="A178" s="20" t="n"/>
      <c r="B178" s="17" t="n"/>
      <c r="C178" s="65" t="inlineStr">
        <is>
          <t>Витамины БАД  ECO VITA  (РОССИЯ)</t>
        </is>
      </c>
      <c r="D178" s="51" t="n"/>
      <c r="E178" s="26" t="n"/>
      <c r="F178" s="27" t="n"/>
      <c r="G178" s="27" t="n"/>
      <c r="H178" s="27" t="n"/>
      <c r="I178" s="27" t="n"/>
      <c r="J178" s="26" t="n"/>
      <c r="K178" s="28" t="n"/>
      <c r="L178" s="161" t="n"/>
      <c r="M178" s="161" t="n"/>
    </row>
    <row r="179" ht="16.2" customFormat="1" customHeight="1" s="7">
      <c r="A179" s="5" t="n">
        <v>233</v>
      </c>
      <c r="B179" s="17" t="inlineStr">
        <is>
          <t>E V</t>
        </is>
      </c>
      <c r="C179" s="143" t="inlineStr">
        <is>
          <t>Биотин (Витамин B-7) 5000 мкг  60 капсул</t>
        </is>
      </c>
      <c r="D179" s="50" t="n">
        <v>53000</v>
      </c>
      <c r="E179" s="33" t="n">
        <v>12</v>
      </c>
      <c r="F179" s="34" t="inlineStr">
        <is>
          <t xml:space="preserve">2 года </t>
        </is>
      </c>
      <c r="G179" s="138" t="n">
        <v>2106909803</v>
      </c>
      <c r="H179" s="138" t="n">
        <v>2936001013000000</v>
      </c>
      <c r="I179" s="138" t="n">
        <v>4687206989344</v>
      </c>
      <c r="J179" s="36" t="inlineStr">
        <is>
          <t>в наличии</t>
        </is>
      </c>
      <c r="K179" s="39" t="n"/>
      <c r="L179" s="139" t="n"/>
      <c r="M179" s="140">
        <f>D179*L179</f>
        <v/>
      </c>
      <c r="N179" s="11" t="n"/>
    </row>
    <row r="180" ht="16.2" customFormat="1" customHeight="1" s="7">
      <c r="A180" s="5" t="n">
        <v>234</v>
      </c>
      <c r="B180" s="17" t="inlineStr">
        <is>
          <t>E V</t>
        </is>
      </c>
      <c r="C180" s="137" t="inlineStr">
        <is>
          <t>Рыбий жир с омега-3 (DHA 360 мг)  30 капсул</t>
        </is>
      </c>
      <c r="D180" s="50" t="n">
        <v>61000</v>
      </c>
      <c r="E180" s="33" t="n">
        <v>12</v>
      </c>
      <c r="F180" s="34" t="inlineStr">
        <is>
          <t xml:space="preserve">2 года </t>
        </is>
      </c>
      <c r="G180" s="138" t="n">
        <v>2106909803</v>
      </c>
      <c r="H180" s="138" t="n">
        <v>2936001013000000</v>
      </c>
      <c r="I180" s="138" t="n">
        <v>4610320918983</v>
      </c>
      <c r="J180" s="36" t="inlineStr">
        <is>
          <t>в наличии</t>
        </is>
      </c>
      <c r="K180" s="39" t="n"/>
      <c r="L180" s="139" t="n"/>
      <c r="M180" s="140">
        <f>D180*L180</f>
        <v/>
      </c>
      <c r="N180" s="11" t="n"/>
    </row>
    <row r="181" ht="16.2" customFormat="1" customHeight="1" s="7">
      <c r="A181" s="5" t="n">
        <v>235</v>
      </c>
      <c r="B181" s="17" t="inlineStr">
        <is>
          <t>E V</t>
        </is>
      </c>
      <c r="C181" s="137" t="inlineStr">
        <is>
          <t>Рыбий жир с омега-3 (DHA 360 мг)  100 капсул</t>
        </is>
      </c>
      <c r="D181" s="50" t="n">
        <v>109000</v>
      </c>
      <c r="E181" s="33" t="n">
        <v>12</v>
      </c>
      <c r="F181" s="34" t="inlineStr">
        <is>
          <t xml:space="preserve">2 года </t>
        </is>
      </c>
      <c r="G181" s="138" t="n">
        <v>2106909803</v>
      </c>
      <c r="H181" s="138" t="n">
        <v>2936001013000000</v>
      </c>
      <c r="I181" s="138" t="n">
        <v>4610320918976</v>
      </c>
      <c r="J181" s="36" t="inlineStr">
        <is>
          <t>в наличии</t>
        </is>
      </c>
      <c r="K181" s="39" t="n"/>
      <c r="L181" s="139" t="n"/>
      <c r="M181" s="140">
        <f>D181*L181</f>
        <v/>
      </c>
      <c r="N181" s="11" t="n"/>
    </row>
    <row r="182" ht="16.2" customFormat="1" customHeight="1" s="7">
      <c r="A182" s="5" t="n">
        <v>236</v>
      </c>
      <c r="B182" s="17" t="inlineStr">
        <is>
          <t>E V</t>
        </is>
      </c>
      <c r="C182" s="144" t="inlineStr">
        <is>
          <t>Ежовик гребенчатый, 90 капсул</t>
        </is>
      </c>
      <c r="D182" s="50" t="n">
        <v>75000</v>
      </c>
      <c r="E182" s="33" t="n">
        <v>12</v>
      </c>
      <c r="F182" s="34" t="inlineStr">
        <is>
          <t xml:space="preserve">2 года </t>
        </is>
      </c>
      <c r="G182" s="138" t="n">
        <v>2106909803</v>
      </c>
      <c r="H182" s="138" t="n">
        <v>2936001013000000</v>
      </c>
      <c r="I182" s="138" t="n">
        <v>4687207581370</v>
      </c>
      <c r="J182" s="36" t="inlineStr">
        <is>
          <t>в наличии</t>
        </is>
      </c>
      <c r="K182" s="39" t="n"/>
      <c r="L182" s="139" t="n"/>
      <c r="M182" s="140">
        <f>D182*L182</f>
        <v/>
      </c>
      <c r="N182" s="11" t="n"/>
    </row>
    <row r="183" ht="16.2" customFormat="1" customHeight="1" s="7">
      <c r="A183" s="5" t="n">
        <v>237</v>
      </c>
      <c r="B183" s="17" t="inlineStr">
        <is>
          <t>E V</t>
        </is>
      </c>
      <c r="C183" s="144" t="inlineStr">
        <is>
          <t>Коэнзим Q10, 100 мг 60 капсул</t>
        </is>
      </c>
      <c r="D183" s="50" t="n">
        <v>128000</v>
      </c>
      <c r="E183" s="33" t="n">
        <v>12</v>
      </c>
      <c r="F183" s="34" t="inlineStr">
        <is>
          <t xml:space="preserve">2 года </t>
        </is>
      </c>
      <c r="G183" s="138" t="n">
        <v>2106909803</v>
      </c>
      <c r="H183" s="138" t="n">
        <v>2936001013000000</v>
      </c>
      <c r="I183" s="138" t="n">
        <v>4630518483116</v>
      </c>
      <c r="J183" s="36" t="inlineStr">
        <is>
          <t>в наличии</t>
        </is>
      </c>
      <c r="K183" s="39" t="n"/>
      <c r="L183" s="139" t="n"/>
      <c r="M183" s="140">
        <f>D183*L183</f>
        <v/>
      </c>
      <c r="N183" s="11" t="n"/>
    </row>
    <row r="184" ht="16.2" customFormat="1" customHeight="1" s="7">
      <c r="A184" s="5" t="n">
        <v>238</v>
      </c>
      <c r="B184" s="17" t="inlineStr">
        <is>
          <t>E V</t>
        </is>
      </c>
      <c r="C184" s="144" t="inlineStr">
        <is>
          <t>Кальций Цинк Магний (D3 B6)  100 капсулы</t>
        </is>
      </c>
      <c r="D184" s="50" t="n">
        <v>65000</v>
      </c>
      <c r="E184" s="33" t="n">
        <v>12</v>
      </c>
      <c r="F184" s="34" t="inlineStr">
        <is>
          <t xml:space="preserve">2 года </t>
        </is>
      </c>
      <c r="G184" s="138" t="n">
        <v>2106909803</v>
      </c>
      <c r="H184" s="138" t="n">
        <v>2936001013000000</v>
      </c>
      <c r="I184" s="138" t="n">
        <v>4610320919058</v>
      </c>
      <c r="J184" s="36" t="inlineStr">
        <is>
          <t>в наличии</t>
        </is>
      </c>
      <c r="K184" s="39" t="n"/>
      <c r="L184" s="139" t="n"/>
      <c r="M184" s="140">
        <f>D184*L184</f>
        <v/>
      </c>
      <c r="N184" s="11" t="n"/>
    </row>
    <row r="185" ht="16.2" customFormat="1" customHeight="1" s="7">
      <c r="A185" s="5" t="n">
        <v>239</v>
      </c>
      <c r="B185" s="17" t="inlineStr">
        <is>
          <t>E V</t>
        </is>
      </c>
      <c r="C185" s="143" t="inlineStr">
        <is>
          <t>Цитрат кальция 210 мг, 90 капсул</t>
        </is>
      </c>
      <c r="D185" s="50" t="n">
        <v>56000</v>
      </c>
      <c r="E185" s="33" t="n">
        <v>12</v>
      </c>
      <c r="F185" s="34" t="inlineStr">
        <is>
          <t xml:space="preserve">2 года </t>
        </is>
      </c>
      <c r="G185" s="138" t="n">
        <v>2106909803</v>
      </c>
      <c r="H185" s="138" t="n">
        <v>2936001013000000</v>
      </c>
      <c r="I185" s="138" t="n">
        <v>4630518483093</v>
      </c>
      <c r="J185" s="36" t="inlineStr">
        <is>
          <t>в наличии</t>
        </is>
      </c>
      <c r="K185" s="39" t="n"/>
      <c r="L185" s="139" t="n"/>
      <c r="M185" s="140">
        <f>D185*L185</f>
        <v/>
      </c>
      <c r="N185" s="11" t="n"/>
    </row>
    <row r="186" ht="16.2" customFormat="1" customHeight="1" s="7">
      <c r="A186" s="5" t="n">
        <v>240</v>
      </c>
      <c r="B186" s="17" t="inlineStr">
        <is>
          <t>E V</t>
        </is>
      </c>
      <c r="C186" s="143" t="inlineStr">
        <is>
          <t>Цитрат магния с витамином B6, 60 капсул</t>
        </is>
      </c>
      <c r="D186" s="50" t="n">
        <v>55000</v>
      </c>
      <c r="E186" s="33" t="n">
        <v>12</v>
      </c>
      <c r="F186" s="34" t="inlineStr">
        <is>
          <t xml:space="preserve">2 года </t>
        </is>
      </c>
      <c r="G186" s="138" t="n">
        <v>2106909803</v>
      </c>
      <c r="H186" s="138" t="n">
        <v>2936001013000000</v>
      </c>
      <c r="I186" s="138" t="n">
        <v>4630518483017</v>
      </c>
      <c r="J186" s="36" t="inlineStr">
        <is>
          <t>в наличии</t>
        </is>
      </c>
      <c r="K186" s="39" t="n"/>
      <c r="L186" s="139" t="n"/>
      <c r="M186" s="140">
        <f>D186*L186</f>
        <v/>
      </c>
      <c r="N186" s="11" t="n"/>
    </row>
    <row r="187" ht="16.2" customFormat="1" customHeight="1" s="7">
      <c r="A187" s="5" t="n">
        <v>241</v>
      </c>
      <c r="B187" s="17" t="inlineStr">
        <is>
          <t>E V</t>
        </is>
      </c>
      <c r="C187" s="144" t="inlineStr">
        <is>
          <t>Витамины Д-3 и K2  100 капсулы</t>
        </is>
      </c>
      <c r="D187" s="50" t="n">
        <v>63000</v>
      </c>
      <c r="E187" s="33" t="n">
        <v>12</v>
      </c>
      <c r="F187" s="34" t="inlineStr">
        <is>
          <t xml:space="preserve">2 года </t>
        </is>
      </c>
      <c r="G187" s="138" t="n">
        <v>2106909803</v>
      </c>
      <c r="H187" s="138" t="n">
        <v>2936001013000000</v>
      </c>
      <c r="I187" s="138" t="n">
        <v>4610320919003</v>
      </c>
      <c r="J187" s="36" t="inlineStr">
        <is>
          <t>в наличии</t>
        </is>
      </c>
      <c r="K187" s="39" t="n"/>
      <c r="L187" s="139" t="n"/>
      <c r="M187" s="140">
        <f>D187*L187</f>
        <v/>
      </c>
      <c r="N187" s="11" t="n"/>
    </row>
    <row r="188" ht="16.2" customFormat="1" customHeight="1" s="7">
      <c r="A188" s="5" t="n">
        <v>242</v>
      </c>
      <c r="B188" s="17" t="inlineStr">
        <is>
          <t>E V</t>
        </is>
      </c>
      <c r="C188" s="143" t="inlineStr">
        <is>
          <t>Витамин Д-3 2000 IU  100 желатиновые капсул</t>
        </is>
      </c>
      <c r="D188" s="50" t="n">
        <v>63000</v>
      </c>
      <c r="E188" s="33" t="n">
        <v>12</v>
      </c>
      <c r="F188" s="34" t="inlineStr">
        <is>
          <t xml:space="preserve">2 года </t>
        </is>
      </c>
      <c r="G188" s="138" t="n">
        <v>2106909803</v>
      </c>
      <c r="H188" s="138" t="n">
        <v>2936001013000000</v>
      </c>
      <c r="I188" s="138" t="n">
        <v>4687206996953</v>
      </c>
      <c r="J188" s="36" t="inlineStr">
        <is>
          <t>в наличии</t>
        </is>
      </c>
      <c r="K188" s="39" t="n"/>
      <c r="L188" s="139" t="n"/>
      <c r="M188" s="140">
        <f>D188*L188</f>
        <v/>
      </c>
      <c r="N188" s="11" t="n"/>
    </row>
    <row r="189" ht="16.2" customFormat="1" customHeight="1" s="7">
      <c r="A189" s="5" t="n">
        <v>243</v>
      </c>
      <c r="B189" s="17" t="inlineStr">
        <is>
          <t>E V</t>
        </is>
      </c>
      <c r="C189" s="143" t="inlineStr">
        <is>
          <t>Витамин Д-3 5000 IU  100 желатиновые капсул</t>
        </is>
      </c>
      <c r="D189" s="50" t="n">
        <v>68000</v>
      </c>
      <c r="E189" s="33" t="n">
        <v>12</v>
      </c>
      <c r="F189" s="34" t="inlineStr">
        <is>
          <t xml:space="preserve">2 года </t>
        </is>
      </c>
      <c r="G189" s="138" t="n">
        <v>2106909803</v>
      </c>
      <c r="H189" s="138" t="n">
        <v>2936001013000000</v>
      </c>
      <c r="I189" s="138" t="n">
        <v>4687206989320</v>
      </c>
      <c r="J189" s="36" t="inlineStr">
        <is>
          <t>в наличии</t>
        </is>
      </c>
      <c r="K189" s="39" t="n"/>
      <c r="L189" s="139" t="n"/>
      <c r="M189" s="140">
        <f>D189*L189</f>
        <v/>
      </c>
      <c r="N189" s="11" t="n"/>
    </row>
    <row r="190" ht="16.2" customFormat="1" customHeight="1" s="7">
      <c r="A190" s="5" t="n">
        <v>244</v>
      </c>
      <c r="B190" s="17" t="inlineStr">
        <is>
          <t>E V</t>
        </is>
      </c>
      <c r="C190" s="143" t="inlineStr">
        <is>
          <t>Витамин Д-3 10.000 IU  100 желатиновые капсул</t>
        </is>
      </c>
      <c r="D190" s="50" t="n">
        <v>75000</v>
      </c>
      <c r="E190" s="33" t="n">
        <v>12</v>
      </c>
      <c r="F190" s="34" t="inlineStr">
        <is>
          <t xml:space="preserve">2 года </t>
        </is>
      </c>
      <c r="G190" s="138" t="n">
        <v>2106909803</v>
      </c>
      <c r="H190" s="138" t="n">
        <v>2936001013000000</v>
      </c>
      <c r="I190" s="138" t="n">
        <v>4687206989337</v>
      </c>
      <c r="J190" s="36" t="inlineStr">
        <is>
          <t>в наличии</t>
        </is>
      </c>
      <c r="K190" s="39" t="n"/>
      <c r="L190" s="139" t="n"/>
      <c r="M190" s="140">
        <f>D190*L190</f>
        <v/>
      </c>
      <c r="N190" s="11" t="n"/>
    </row>
    <row r="191" ht="16.2" customFormat="1" customHeight="1" s="7">
      <c r="A191" s="5" t="n">
        <v>245</v>
      </c>
      <c r="B191" s="17" t="inlineStr">
        <is>
          <t>E V</t>
        </is>
      </c>
      <c r="C191" s="143" t="inlineStr">
        <is>
          <t>Мио-Инозитол 500 мг  100 капсул</t>
        </is>
      </c>
      <c r="D191" s="50" t="n">
        <v>98000</v>
      </c>
      <c r="E191" s="33" t="n">
        <v>12</v>
      </c>
      <c r="F191" s="34" t="inlineStr">
        <is>
          <t xml:space="preserve">2 года </t>
        </is>
      </c>
      <c r="G191" s="138" t="n">
        <v>2106909803</v>
      </c>
      <c r="H191" s="138" t="n">
        <v>2936001013000000</v>
      </c>
      <c r="I191" s="138" t="n">
        <v>4610320919027</v>
      </c>
      <c r="J191" s="36" t="inlineStr">
        <is>
          <t>в наличии</t>
        </is>
      </c>
      <c r="K191" s="39" t="n"/>
      <c r="L191" s="139" t="n"/>
      <c r="M191" s="140">
        <f>D191*L191</f>
        <v/>
      </c>
      <c r="N191" s="11" t="n"/>
    </row>
    <row r="192" ht="16.2" customFormat="1" customHeight="1" s="7">
      <c r="A192" s="5" t="n">
        <v>246</v>
      </c>
      <c r="B192" s="17" t="inlineStr">
        <is>
          <t>E V</t>
        </is>
      </c>
      <c r="C192" s="143" t="inlineStr">
        <is>
          <t>Селен 100 мкг 90 капсул</t>
        </is>
      </c>
      <c r="D192" s="50" t="n">
        <v>57000</v>
      </c>
      <c r="E192" s="33" t="n">
        <v>12</v>
      </c>
      <c r="F192" s="34" t="inlineStr">
        <is>
          <t xml:space="preserve">2 года </t>
        </is>
      </c>
      <c r="G192" s="138" t="n">
        <v>2106909803</v>
      </c>
      <c r="H192" s="138" t="n">
        <v>2936001013000000</v>
      </c>
      <c r="I192" s="138" t="n">
        <v>4610320919034</v>
      </c>
      <c r="J192" s="36" t="inlineStr">
        <is>
          <t>в наличии</t>
        </is>
      </c>
      <c r="K192" s="39" t="n"/>
      <c r="L192" s="139" t="n"/>
      <c r="M192" s="140">
        <f>D192*L192</f>
        <v/>
      </c>
      <c r="N192" s="11" t="n"/>
    </row>
    <row r="193" ht="16.2" customFormat="1" customHeight="1" s="7">
      <c r="A193" s="5" t="n">
        <v>247</v>
      </c>
      <c r="B193" s="17" t="inlineStr">
        <is>
          <t>E V</t>
        </is>
      </c>
      <c r="C193" s="143" t="inlineStr">
        <is>
          <t>Лецитин 1000 мг  100 желатиновые капсул</t>
        </is>
      </c>
      <c r="D193" s="50" t="n">
        <v>140000</v>
      </c>
      <c r="E193" s="33" t="n">
        <v>12</v>
      </c>
      <c r="F193" s="34" t="inlineStr">
        <is>
          <t xml:space="preserve">2 года </t>
        </is>
      </c>
      <c r="G193" s="138" t="n">
        <v>2106909803</v>
      </c>
      <c r="H193" s="138" t="n">
        <v>2936001013000000</v>
      </c>
      <c r="I193" s="138" t="n">
        <v>4687206989351</v>
      </c>
      <c r="J193" s="36" t="inlineStr">
        <is>
          <t>в наличии</t>
        </is>
      </c>
      <c r="K193" s="39" t="n"/>
      <c r="L193" s="139" t="n"/>
      <c r="M193" s="140">
        <f>D193*L193</f>
        <v/>
      </c>
      <c r="N193" s="11" t="n"/>
    </row>
    <row r="194" ht="16.2" customFormat="1" customHeight="1" s="7">
      <c r="A194" s="5" t="n">
        <v>248</v>
      </c>
      <c r="B194" s="17" t="inlineStr">
        <is>
          <t>E V</t>
        </is>
      </c>
      <c r="C194" s="144" t="inlineStr">
        <is>
          <t>Цинк пиколинат 125 мг  60 капсул</t>
        </is>
      </c>
      <c r="D194" s="50" t="n">
        <v>66000</v>
      </c>
      <c r="E194" s="33" t="n">
        <v>12</v>
      </c>
      <c r="F194" s="34" t="inlineStr">
        <is>
          <t xml:space="preserve">2 года </t>
        </is>
      </c>
      <c r="G194" s="138" t="n">
        <v>2106909803</v>
      </c>
      <c r="H194" s="138" t="n">
        <v>2936001013000000</v>
      </c>
      <c r="I194" s="138" t="n">
        <v>4610320919010</v>
      </c>
      <c r="J194" s="36" t="inlineStr">
        <is>
          <t>в наличии</t>
        </is>
      </c>
      <c r="K194" s="39" t="n"/>
      <c r="L194" s="139" t="n"/>
      <c r="M194" s="140">
        <f>D194*L194</f>
        <v/>
      </c>
      <c r="N194" s="11" t="n"/>
    </row>
    <row r="195" ht="16.2" customFormat="1" customHeight="1" s="7">
      <c r="A195" s="5" t="n">
        <v>249</v>
      </c>
      <c r="B195" s="17" t="inlineStr">
        <is>
          <t>E V</t>
        </is>
      </c>
      <c r="C195" s="144" t="inlineStr">
        <is>
          <t>C-500 (аскорбиновая кислота)  100 капсул</t>
        </is>
      </c>
      <c r="D195" s="50" t="n">
        <v>51000</v>
      </c>
      <c r="E195" s="33" t="n">
        <v>12</v>
      </c>
      <c r="F195" s="34" t="inlineStr">
        <is>
          <t xml:space="preserve">2 года </t>
        </is>
      </c>
      <c r="G195" s="138" t="n">
        <v>2106909803</v>
      </c>
      <c r="H195" s="138" t="n">
        <v>2936001013000000</v>
      </c>
      <c r="I195" s="138" t="n">
        <v>4610320919041</v>
      </c>
      <c r="J195" s="36" t="inlineStr">
        <is>
          <t>в наличии</t>
        </is>
      </c>
      <c r="K195" s="39" t="n"/>
      <c r="L195" s="139" t="n"/>
      <c r="M195" s="140">
        <f>D195*L195</f>
        <v/>
      </c>
      <c r="N195" s="11" t="n"/>
    </row>
    <row r="196" ht="16.2" customFormat="1" customHeight="1" s="7">
      <c r="A196" s="5" t="n">
        <v>250</v>
      </c>
      <c r="B196" s="17" t="inlineStr">
        <is>
          <t>E V</t>
        </is>
      </c>
      <c r="C196" s="143" t="inlineStr">
        <is>
          <t>Коллаген в капсулах 1-3 Типа, 60 капсул</t>
        </is>
      </c>
      <c r="D196" s="50" t="n">
        <v>53000</v>
      </c>
      <c r="E196" s="33" t="n">
        <v>12</v>
      </c>
      <c r="F196" s="34" t="inlineStr">
        <is>
          <t xml:space="preserve">2 года </t>
        </is>
      </c>
      <c r="G196" s="138" t="n">
        <v>2106909803</v>
      </c>
      <c r="H196" s="138" t="n">
        <v>2936001013000000</v>
      </c>
      <c r="I196" s="138" t="n">
        <v>4630518486308</v>
      </c>
      <c r="J196" s="36" t="inlineStr">
        <is>
          <t>в наличии</t>
        </is>
      </c>
      <c r="K196" s="39" t="n"/>
      <c r="L196" s="139" t="n"/>
      <c r="M196" s="140">
        <f>D196*L196</f>
        <v/>
      </c>
      <c r="N196" s="11" t="n"/>
    </row>
    <row r="197" ht="16.2" customFormat="1" customHeight="1" s="7">
      <c r="A197" s="5" t="n">
        <v>251</v>
      </c>
      <c r="B197" s="17" t="inlineStr">
        <is>
          <t>E V</t>
        </is>
      </c>
      <c r="C197" s="144" t="inlineStr">
        <is>
          <t>Коллаген (гидролизованный рыбный коллаген) в виде порошка, 240 г</t>
        </is>
      </c>
      <c r="D197" s="50" t="n">
        <v>149000</v>
      </c>
      <c r="E197" s="33" t="n">
        <v>6</v>
      </c>
      <c r="F197" s="34" t="inlineStr">
        <is>
          <t xml:space="preserve">2 года </t>
        </is>
      </c>
      <c r="G197" s="138" t="n">
        <v>2106909803</v>
      </c>
      <c r="H197" s="138" t="n">
        <v>2936001013000000</v>
      </c>
      <c r="I197" s="138" t="n">
        <v>4687206989368</v>
      </c>
      <c r="J197" s="36" t="inlineStr">
        <is>
          <t>в наличии</t>
        </is>
      </c>
      <c r="K197" s="39" t="n"/>
      <c r="L197" s="139" t="n"/>
      <c r="M197" s="140">
        <f>D197*L197</f>
        <v/>
      </c>
      <c r="N197" s="11" t="n"/>
    </row>
    <row r="198" ht="16.2" customFormat="1" customHeight="1" s="7">
      <c r="A198" s="5" t="n">
        <v>252</v>
      </c>
      <c r="B198" s="17" t="inlineStr">
        <is>
          <t>E V</t>
        </is>
      </c>
      <c r="C198" s="144" t="inlineStr">
        <is>
          <t>Мультивитамины для мужчин, 90 таблеток</t>
        </is>
      </c>
      <c r="D198" s="50" t="n">
        <v>141000</v>
      </c>
      <c r="E198" s="33" t="n">
        <v>12</v>
      </c>
      <c r="F198" s="34" t="inlineStr">
        <is>
          <t xml:space="preserve">2 года </t>
        </is>
      </c>
      <c r="G198" s="138" t="n">
        <v>2106909803</v>
      </c>
      <c r="H198" s="138" t="n">
        <v>2936001013000000</v>
      </c>
      <c r="I198" s="138" t="n">
        <v>4630518483024</v>
      </c>
      <c r="J198" s="36" t="inlineStr">
        <is>
          <t>в наличии</t>
        </is>
      </c>
      <c r="K198" s="39" t="n"/>
      <c r="L198" s="139" t="n"/>
      <c r="M198" s="140">
        <f>D198*L198</f>
        <v/>
      </c>
      <c r="N198" s="11" t="n"/>
    </row>
    <row r="199" ht="16.2" customFormat="1" customHeight="1" s="7">
      <c r="A199" s="5" t="n">
        <v>253</v>
      </c>
      <c r="B199" s="17" t="inlineStr">
        <is>
          <t>E V</t>
        </is>
      </c>
      <c r="C199" s="144" t="inlineStr">
        <is>
          <t>Мультивитамины для женщин, 90 таблеток</t>
        </is>
      </c>
      <c r="D199" s="50" t="n">
        <v>141000</v>
      </c>
      <c r="E199" s="33" t="n">
        <v>12</v>
      </c>
      <c r="F199" s="34" t="inlineStr">
        <is>
          <t xml:space="preserve">2 года </t>
        </is>
      </c>
      <c r="G199" s="138" t="n">
        <v>2106909803</v>
      </c>
      <c r="H199" s="138" t="n">
        <v>2936001013000000</v>
      </c>
      <c r="I199" s="138" t="n">
        <v>4630518483000</v>
      </c>
      <c r="J199" s="36" t="inlineStr">
        <is>
          <t>в наличии</t>
        </is>
      </c>
      <c r="K199" s="39" t="n"/>
      <c r="L199" s="139" t="n"/>
      <c r="M199" s="140">
        <f>D199*L199</f>
        <v/>
      </c>
      <c r="N199" s="11" t="n"/>
    </row>
    <row r="200" ht="16.2" customFormat="1" customHeight="1" s="7">
      <c r="A200" s="5" t="n">
        <v>254</v>
      </c>
      <c r="B200" s="17" t="inlineStr">
        <is>
          <t>E V</t>
        </is>
      </c>
      <c r="C200" s="143" t="inlineStr">
        <is>
          <t>L-карнитин (850 мг в 2х капсулах), 90 капсул</t>
        </is>
      </c>
      <c r="D200" s="50" t="n">
        <v>90000</v>
      </c>
      <c r="E200" s="33" t="n">
        <v>12</v>
      </c>
      <c r="F200" s="34" t="inlineStr">
        <is>
          <t xml:space="preserve">2 года </t>
        </is>
      </c>
      <c r="G200" s="138" t="n">
        <v>2106909803</v>
      </c>
      <c r="H200" s="138" t="n">
        <v>2936001013000000</v>
      </c>
      <c r="I200" s="138" t="n">
        <v>4630518483079</v>
      </c>
      <c r="J200" s="36" t="inlineStr">
        <is>
          <t>в наличии</t>
        </is>
      </c>
      <c r="K200" s="39" t="n"/>
      <c r="L200" s="139" t="n"/>
      <c r="M200" s="140">
        <f>D200*L200</f>
        <v/>
      </c>
      <c r="N200" s="11" t="n"/>
    </row>
    <row r="201" ht="16.2" customFormat="1" customHeight="1" s="7">
      <c r="A201" s="5" t="n">
        <v>255</v>
      </c>
      <c r="B201" s="17" t="inlineStr">
        <is>
          <t>E V</t>
        </is>
      </c>
      <c r="C201" s="144" t="inlineStr">
        <is>
          <t>Берберин 500 мг, 60 капсул</t>
        </is>
      </c>
      <c r="D201" s="50" t="n">
        <v>85000</v>
      </c>
      <c r="E201" s="33" t="n">
        <v>12</v>
      </c>
      <c r="F201" s="34" t="inlineStr">
        <is>
          <t xml:space="preserve">2 года </t>
        </is>
      </c>
      <c r="G201" s="138" t="n">
        <v>2106909803</v>
      </c>
      <c r="H201" s="138" t="n">
        <v>2936001013000000</v>
      </c>
      <c r="I201" s="138" t="n">
        <v>4630518483031</v>
      </c>
      <c r="J201" s="36" t="inlineStr">
        <is>
          <t>в наличии</t>
        </is>
      </c>
      <c r="K201" s="39" t="n"/>
      <c r="L201" s="139" t="n"/>
      <c r="M201" s="140">
        <f>D201*L201</f>
        <v/>
      </c>
      <c r="N201" s="11" t="n"/>
    </row>
    <row r="202" ht="16.2" customFormat="1" customHeight="1" s="7">
      <c r="A202" s="5" t="n">
        <v>256</v>
      </c>
      <c r="B202" s="17" t="inlineStr">
        <is>
          <t>E V</t>
        </is>
      </c>
      <c r="C202" s="143" t="inlineStr">
        <is>
          <t>Глюкозамин, хондроитин и МСМ 2320 мг, 120 капсул</t>
        </is>
      </c>
      <c r="D202" s="50" t="n">
        <v>99000</v>
      </c>
      <c r="E202" s="33" t="n">
        <v>12</v>
      </c>
      <c r="F202" s="34" t="inlineStr">
        <is>
          <t xml:space="preserve">2 года </t>
        </is>
      </c>
      <c r="G202" s="138" t="n">
        <v>2106909803</v>
      </c>
      <c r="H202" s="138" t="n">
        <v>2936001013000000</v>
      </c>
      <c r="I202" s="138" t="n">
        <v>4630518482997</v>
      </c>
      <c r="J202" s="36" t="inlineStr">
        <is>
          <t>в наличии</t>
        </is>
      </c>
      <c r="K202" s="39" t="n"/>
      <c r="L202" s="139" t="n"/>
      <c r="M202" s="140">
        <f>D202*L202</f>
        <v/>
      </c>
      <c r="N202" s="11" t="n"/>
    </row>
    <row r="203" ht="16.2" customFormat="1" customHeight="1" s="7">
      <c r="A203" s="5" t="n">
        <v>257</v>
      </c>
      <c r="B203" s="17" t="inlineStr">
        <is>
          <t>E V</t>
        </is>
      </c>
      <c r="C203" s="143" t="inlineStr">
        <is>
          <t>Комплекс витаминов группы B, 60</t>
        </is>
      </c>
      <c r="D203" s="50" t="n">
        <v>50000</v>
      </c>
      <c r="E203" s="33" t="n">
        <v>12</v>
      </c>
      <c r="F203" s="34" t="inlineStr">
        <is>
          <t xml:space="preserve">2 года </t>
        </is>
      </c>
      <c r="G203" s="138" t="n">
        <v>2106909803</v>
      </c>
      <c r="H203" s="138" t="n">
        <v>2936001013000000</v>
      </c>
      <c r="I203" s="138" t="n">
        <v>4630518483109</v>
      </c>
      <c r="J203" s="36" t="inlineStr">
        <is>
          <t>в наличии</t>
        </is>
      </c>
      <c r="K203" s="39" t="n"/>
      <c r="L203" s="139" t="n"/>
      <c r="M203" s="140">
        <f>D203*L203</f>
        <v/>
      </c>
      <c r="N203" s="11" t="n"/>
    </row>
    <row r="204" ht="16.2" customFormat="1" customHeight="1" s="7">
      <c r="A204" s="5" t="n">
        <v>258</v>
      </c>
      <c r="B204" s="17" t="inlineStr">
        <is>
          <t>E V</t>
        </is>
      </c>
      <c r="C204" s="144" t="inlineStr">
        <is>
          <t>Хелат железа 40 мг, 60 капсул</t>
        </is>
      </c>
      <c r="D204" s="50" t="n">
        <v>49000</v>
      </c>
      <c r="E204" s="33" t="n">
        <v>12</v>
      </c>
      <c r="F204" s="34" t="inlineStr">
        <is>
          <t xml:space="preserve">2 года </t>
        </is>
      </c>
      <c r="G204" s="138" t="n">
        <v>2106909803</v>
      </c>
      <c r="H204" s="138" t="n">
        <v>2936001013000000</v>
      </c>
      <c r="I204" s="138" t="n">
        <v>4630518483086</v>
      </c>
      <c r="J204" s="36" t="inlineStr">
        <is>
          <t>в наличии</t>
        </is>
      </c>
      <c r="K204" s="39" t="n"/>
      <c r="L204" s="139" t="n"/>
      <c r="M204" s="140">
        <f>D204*L204</f>
        <v/>
      </c>
      <c r="N204" s="11" t="n"/>
    </row>
    <row r="205" ht="16.2" customFormat="1" customHeight="1" s="7">
      <c r="A205" s="5" t="n">
        <v>259</v>
      </c>
      <c r="B205" s="17" t="inlineStr">
        <is>
          <t>E V</t>
        </is>
      </c>
      <c r="C205" s="144" t="inlineStr">
        <is>
          <t>Фолиевая кислота 400 мкг, 60 капсул</t>
        </is>
      </c>
      <c r="D205" s="50" t="n">
        <v>56000</v>
      </c>
      <c r="E205" s="33" t="n">
        <v>12</v>
      </c>
      <c r="F205" s="34" t="inlineStr">
        <is>
          <t xml:space="preserve">2 года </t>
        </is>
      </c>
      <c r="G205" s="138" t="n">
        <v>2106909803</v>
      </c>
      <c r="H205" s="138" t="n">
        <v>2936001013000000</v>
      </c>
      <c r="I205" s="138" t="n">
        <v>4687207581363</v>
      </c>
      <c r="J205" s="36" t="inlineStr">
        <is>
          <t>в наличии</t>
        </is>
      </c>
      <c r="K205" s="39" t="n"/>
      <c r="L205" s="139" t="n"/>
      <c r="M205" s="140">
        <f>D205*L205</f>
        <v/>
      </c>
      <c r="N205" s="11" t="n"/>
    </row>
    <row r="206" ht="16.2" customFormat="1" customHeight="1" s="7">
      <c r="A206" s="5" t="n">
        <v>260</v>
      </c>
      <c r="B206" s="17" t="inlineStr">
        <is>
          <t>E V</t>
        </is>
      </c>
      <c r="C206" s="143" t="inlineStr">
        <is>
          <t>Пиколинат хрома 200 мкг 60 капсул</t>
        </is>
      </c>
      <c r="D206" s="50" t="n">
        <v>54000</v>
      </c>
      <c r="E206" s="33" t="n">
        <v>12</v>
      </c>
      <c r="F206" s="34" t="inlineStr">
        <is>
          <t xml:space="preserve">2 года </t>
        </is>
      </c>
      <c r="G206" s="138" t="n">
        <v>2106909803</v>
      </c>
      <c r="H206" s="138" t="n">
        <v>2936001013000000</v>
      </c>
      <c r="I206" s="138" t="n">
        <v>4630518483062</v>
      </c>
      <c r="J206" s="36" t="inlineStr">
        <is>
          <t>в наличии</t>
        </is>
      </c>
      <c r="K206" s="39" t="n"/>
      <c r="L206" s="139" t="n"/>
      <c r="M206" s="140">
        <f>D206*L206</f>
        <v/>
      </c>
      <c r="N206" s="11" t="n"/>
    </row>
    <row r="207" ht="16.2" customFormat="1" customHeight="1" s="7">
      <c r="A207" s="5" t="n">
        <v>261</v>
      </c>
      <c r="B207" s="17" t="inlineStr">
        <is>
          <t>E V</t>
        </is>
      </c>
      <c r="C207" s="144" t="inlineStr">
        <is>
          <t>Жидкий хлорофилл c ароматом натуральной мяты, 500 мл</t>
        </is>
      </c>
      <c r="D207" s="50" t="n">
        <v>149000</v>
      </c>
      <c r="E207" s="33" t="n">
        <v>12</v>
      </c>
      <c r="F207" s="34" t="inlineStr">
        <is>
          <t xml:space="preserve">2 года </t>
        </is>
      </c>
      <c r="G207" s="138" t="n">
        <v>2106909803</v>
      </c>
      <c r="H207" s="138" t="n">
        <v>2936001013000000</v>
      </c>
      <c r="I207" s="138" t="n">
        <v>4630460134289</v>
      </c>
      <c r="J207" s="36" t="inlineStr">
        <is>
          <t>в наличии</t>
        </is>
      </c>
      <c r="K207" s="39" t="n"/>
      <c r="L207" s="139" t="n"/>
      <c r="M207" s="140">
        <f>D207*L207</f>
        <v/>
      </c>
      <c r="N207" s="11" t="n"/>
    </row>
    <row r="208" ht="22.8" customFormat="1" customHeight="1" s="25">
      <c r="A208" s="20" t="n"/>
      <c r="B208" s="90" t="n"/>
      <c r="C208" s="91" t="inlineStr">
        <is>
          <t>Витамины БАД  VITA GARDEN  (РОССИЯ)</t>
        </is>
      </c>
      <c r="D208" s="92" t="n"/>
      <c r="E208" s="93" t="n"/>
      <c r="F208" s="94" t="n"/>
      <c r="G208" s="94" t="n"/>
      <c r="H208" s="94" t="n"/>
      <c r="I208" s="94" t="n"/>
      <c r="J208" s="93" t="n"/>
      <c r="K208" s="95" t="n"/>
      <c r="L208" s="162" t="n"/>
      <c r="M208" s="162" t="n"/>
    </row>
    <row r="209" ht="16.2" customFormat="1" customHeight="1" s="7">
      <c r="A209" s="5" t="n">
        <v>265</v>
      </c>
      <c r="B209" s="90" t="inlineStr">
        <is>
          <t>V G</t>
        </is>
      </c>
      <c r="C209" s="129" t="inlineStr">
        <is>
          <t>Vitauct  Гепатроп, Комплексная защита и питание печени, 350 мл флакон</t>
        </is>
      </c>
      <c r="D209" s="50" t="n">
        <v>156000</v>
      </c>
      <c r="E209" s="33" t="n">
        <v>16</v>
      </c>
      <c r="F209" s="34" t="inlineStr">
        <is>
          <t xml:space="preserve">2 года </t>
        </is>
      </c>
      <c r="G209" s="138" t="n">
        <v>2106909803</v>
      </c>
      <c r="H209" s="138" t="n">
        <v>2936001013000000</v>
      </c>
      <c r="I209" s="138" t="n">
        <v>4660010720518</v>
      </c>
      <c r="J209" s="36" t="inlineStr">
        <is>
          <t>в наличии</t>
        </is>
      </c>
      <c r="K209" s="39" t="n"/>
      <c r="L209" s="139" t="n"/>
      <c r="M209" s="140" t="n"/>
      <c r="N209" s="11" t="n"/>
    </row>
    <row r="210" ht="16.2" customFormat="1" customHeight="1" s="7">
      <c r="A210" s="5" t="n">
        <v>266</v>
      </c>
      <c r="B210" s="90" t="inlineStr">
        <is>
          <t>V G</t>
        </is>
      </c>
      <c r="C210" s="129" t="inlineStr">
        <is>
          <t>Амино Сорб, Сорбент природного происхождения 300 мл флакон</t>
        </is>
      </c>
      <c r="D210" s="50" t="n">
        <v>208000</v>
      </c>
      <c r="E210" s="33" t="n">
        <v>28</v>
      </c>
      <c r="F210" s="34" t="inlineStr">
        <is>
          <t xml:space="preserve">2 года </t>
        </is>
      </c>
      <c r="G210" s="138" t="n">
        <v>2106909803</v>
      </c>
      <c r="H210" s="138" t="n">
        <v>2936001013000000</v>
      </c>
      <c r="I210" s="138" t="n">
        <v>4630017841660</v>
      </c>
      <c r="J210" s="36" t="inlineStr">
        <is>
          <t>в наличии</t>
        </is>
      </c>
      <c r="K210" s="39" t="n"/>
      <c r="L210" s="139" t="n"/>
      <c r="M210" s="140" t="n"/>
      <c r="N210" s="11" t="n"/>
    </row>
    <row r="211" ht="15.6" customFormat="1" customHeight="1" s="7">
      <c r="A211" s="5" t="n">
        <v>267</v>
      </c>
      <c r="B211" s="90" t="inlineStr">
        <is>
          <t>V G</t>
        </is>
      </c>
      <c r="C211" s="143" t="inlineStr">
        <is>
          <t>Биотин (Витамин B-7) 5000 мкг 30 капсул</t>
        </is>
      </c>
      <c r="D211" s="50" t="n">
        <v>40000</v>
      </c>
      <c r="E211" s="33" t="n">
        <v>12</v>
      </c>
      <c r="F211" s="34" t="inlineStr">
        <is>
          <t xml:space="preserve">2 года </t>
        </is>
      </c>
      <c r="G211" s="138" t="n">
        <v>2106909803</v>
      </c>
      <c r="H211" s="138" t="n">
        <v>2936001013000000</v>
      </c>
      <c r="I211" s="138" t="n">
        <v>4687207828314</v>
      </c>
      <c r="J211" s="36" t="inlineStr">
        <is>
          <t>в наличии</t>
        </is>
      </c>
      <c r="K211" s="39" t="n"/>
      <c r="L211" s="139" t="n"/>
      <c r="M211" s="140" t="n"/>
      <c r="N211" s="11" t="n"/>
    </row>
    <row r="212" ht="16.2" customFormat="1" customHeight="1" s="7">
      <c r="A212" s="5" t="n">
        <v>268</v>
      </c>
      <c r="B212" s="90" t="inlineStr">
        <is>
          <t>V G</t>
        </is>
      </c>
      <c r="C212" s="143" t="inlineStr">
        <is>
          <t>Рыбий жир с омега-3 (1350 мг в 1 капсуле), 60 капсул</t>
        </is>
      </c>
      <c r="D212" s="50" t="n">
        <v>79000</v>
      </c>
      <c r="E212" s="33" t="n">
        <v>12</v>
      </c>
      <c r="F212" s="34" t="inlineStr">
        <is>
          <t xml:space="preserve">2 года </t>
        </is>
      </c>
      <c r="G212" s="138" t="n">
        <v>2106909803</v>
      </c>
      <c r="H212" s="138" t="n">
        <v>2936001013000000</v>
      </c>
      <c r="I212" s="138" t="n">
        <v>4630518486254</v>
      </c>
      <c r="J212" s="36" t="inlineStr">
        <is>
          <t>в наличии</t>
        </is>
      </c>
      <c r="K212" s="39" t="n"/>
      <c r="L212" s="139" t="n"/>
      <c r="M212" s="140" t="n"/>
      <c r="N212" s="11" t="n"/>
    </row>
    <row r="213" ht="16.2" customFormat="1" customHeight="1" s="7">
      <c r="A213" s="5" t="n">
        <v>269</v>
      </c>
      <c r="B213" s="90" t="inlineStr">
        <is>
          <t>V G</t>
        </is>
      </c>
      <c r="C213" s="143" t="inlineStr">
        <is>
          <t>Магний с витамином B6, 60 капсул</t>
        </is>
      </c>
      <c r="D213" s="50" t="n">
        <v>56000</v>
      </c>
      <c r="E213" s="33" t="n">
        <v>12</v>
      </c>
      <c r="F213" s="34" t="inlineStr">
        <is>
          <t xml:space="preserve">2 года </t>
        </is>
      </c>
      <c r="G213" s="138" t="n">
        <v>2106909803</v>
      </c>
      <c r="H213" s="138" t="n">
        <v>2936001013000000</v>
      </c>
      <c r="I213" s="138" t="n">
        <v>4630518486292</v>
      </c>
      <c r="J213" s="36" t="inlineStr">
        <is>
          <t>в наличии</t>
        </is>
      </c>
      <c r="K213" s="39" t="n"/>
      <c r="L213" s="139" t="n"/>
      <c r="M213" s="140" t="n"/>
      <c r="N213" s="11" t="n"/>
    </row>
    <row r="214" ht="16.2" customFormat="1" customHeight="1" s="7">
      <c r="A214" s="5" t="n">
        <v>270</v>
      </c>
      <c r="B214" s="90" t="inlineStr">
        <is>
          <t>V G</t>
        </is>
      </c>
      <c r="C214" s="143" t="inlineStr">
        <is>
          <t>Цитрат кальция 220 мг, 60 капсул</t>
        </is>
      </c>
      <c r="D214" s="50" t="n">
        <v>46000</v>
      </c>
      <c r="E214" s="33" t="n">
        <v>12</v>
      </c>
      <c r="F214" s="34" t="inlineStr">
        <is>
          <t xml:space="preserve">2 года </t>
        </is>
      </c>
      <c r="G214" s="138" t="n">
        <v>2106909803</v>
      </c>
      <c r="H214" s="138" t="n">
        <v>2936001013000000</v>
      </c>
      <c r="I214" s="138" t="n">
        <v>4630518486285</v>
      </c>
      <c r="J214" s="36" t="inlineStr">
        <is>
          <t>в наличии</t>
        </is>
      </c>
      <c r="K214" s="39" t="n"/>
      <c r="L214" s="139" t="n"/>
      <c r="M214" s="140" t="n"/>
      <c r="N214" s="11" t="n"/>
    </row>
    <row r="215" ht="16.2" customFormat="1" customHeight="1" s="7">
      <c r="A215" s="5" t="n">
        <v>271</v>
      </c>
      <c r="B215" s="90" t="inlineStr">
        <is>
          <t>V G</t>
        </is>
      </c>
      <c r="C215" s="143" t="inlineStr">
        <is>
          <t>Витамин D3 высокоактивный 2000 МЕ, 60 капсул</t>
        </is>
      </c>
      <c r="D215" s="50" t="n">
        <v>39000</v>
      </c>
      <c r="E215" s="33" t="n">
        <v>12</v>
      </c>
      <c r="F215" s="34" t="inlineStr">
        <is>
          <t xml:space="preserve">2 года </t>
        </is>
      </c>
      <c r="G215" s="138" t="n">
        <v>2106909803</v>
      </c>
      <c r="H215" s="138" t="n">
        <v>2936001013000000</v>
      </c>
      <c r="I215" s="138" t="n">
        <v>4630518486742</v>
      </c>
      <c r="J215" s="36" t="inlineStr">
        <is>
          <t>в наличии</t>
        </is>
      </c>
      <c r="K215" s="39" t="n"/>
      <c r="L215" s="139" t="n"/>
      <c r="M215" s="140" t="n"/>
      <c r="N215" s="11" t="n"/>
    </row>
    <row r="216" ht="16.2" customFormat="1" customHeight="1" s="7">
      <c r="A216" s="5" t="n">
        <v>272</v>
      </c>
      <c r="B216" s="90" t="inlineStr">
        <is>
          <t>V G</t>
        </is>
      </c>
      <c r="C216" s="143" t="inlineStr">
        <is>
          <t>Инозитол 500 мг  60 капсул</t>
        </is>
      </c>
      <c r="D216" s="50" t="n">
        <v>67000</v>
      </c>
      <c r="E216" s="33" t="n">
        <v>12</v>
      </c>
      <c r="F216" s="34" t="inlineStr">
        <is>
          <t xml:space="preserve">2 года </t>
        </is>
      </c>
      <c r="G216" s="138" t="n">
        <v>2106909803</v>
      </c>
      <c r="H216" s="138" t="n">
        <v>2936001013000000</v>
      </c>
      <c r="I216" s="138" t="n">
        <v>4630518486261</v>
      </c>
      <c r="J216" s="36" t="inlineStr">
        <is>
          <t>в наличии</t>
        </is>
      </c>
      <c r="K216" s="39" t="n"/>
      <c r="L216" s="139" t="n"/>
      <c r="M216" s="140" t="n"/>
      <c r="N216" s="11" t="n"/>
    </row>
    <row r="217" ht="16.2" customFormat="1" customHeight="1" s="7">
      <c r="A217" s="5" t="n">
        <v>273</v>
      </c>
      <c r="B217" s="90" t="inlineStr">
        <is>
          <t>V G</t>
        </is>
      </c>
      <c r="C217" s="143" t="inlineStr">
        <is>
          <t>Селен 100 мкг, 60 капсул</t>
        </is>
      </c>
      <c r="D217" s="50" t="n">
        <v>42000</v>
      </c>
      <c r="E217" s="33" t="n">
        <v>12</v>
      </c>
      <c r="F217" s="34" t="inlineStr">
        <is>
          <t xml:space="preserve">2 года </t>
        </is>
      </c>
      <c r="G217" s="138" t="n">
        <v>2106909803</v>
      </c>
      <c r="H217" s="138" t="n">
        <v>2936001013000000</v>
      </c>
      <c r="I217" s="138" t="n">
        <v>4630518486278</v>
      </c>
      <c r="J217" s="36" t="inlineStr">
        <is>
          <t>в наличии</t>
        </is>
      </c>
      <c r="K217" s="39" t="n"/>
      <c r="L217" s="139" t="n"/>
      <c r="M217" s="140" t="n"/>
      <c r="N217" s="11" t="n"/>
    </row>
    <row r="218" ht="16.2" customFormat="1" customHeight="1" s="7">
      <c r="A218" s="5" t="n">
        <v>274</v>
      </c>
      <c r="B218" s="90" t="inlineStr">
        <is>
          <t>V G</t>
        </is>
      </c>
      <c r="C218" s="143" t="inlineStr">
        <is>
          <t>Пиколинат цинка 125 мг, 60 капсул</t>
        </is>
      </c>
      <c r="D218" s="50" t="n">
        <v>55000</v>
      </c>
      <c r="E218" s="33" t="n">
        <v>12</v>
      </c>
      <c r="F218" s="34" t="inlineStr">
        <is>
          <t xml:space="preserve">2 года </t>
        </is>
      </c>
      <c r="G218" s="138" t="n">
        <v>2106909803</v>
      </c>
      <c r="H218" s="138" t="n">
        <v>2936001013000000</v>
      </c>
      <c r="I218" s="138" t="n">
        <v>4630518486247</v>
      </c>
      <c r="J218" s="36" t="inlineStr">
        <is>
          <t>в наличии</t>
        </is>
      </c>
      <c r="K218" s="39" t="n"/>
      <c r="L218" s="139" t="n"/>
      <c r="M218" s="140" t="n"/>
      <c r="N218" s="11" t="n"/>
    </row>
    <row r="219" customFormat="1" s="10">
      <c r="A219" s="1" t="n"/>
      <c r="B219" s="19" t="n"/>
      <c r="C219" s="66" t="n"/>
      <c r="D219" s="48" t="n"/>
      <c r="E219" s="12" t="n"/>
      <c r="F219" s="13" t="n"/>
      <c r="G219" s="13" t="n"/>
      <c r="H219" s="13" t="n"/>
      <c r="I219" s="13" t="n"/>
      <c r="J219" s="12" t="n"/>
      <c r="K219" s="1" t="n"/>
      <c r="L219" s="163" t="inlineStr">
        <is>
          <t>ИТОГ :</t>
        </is>
      </c>
      <c r="M219" s="164">
        <f>SUM(M6:M218)</f>
        <v/>
      </c>
      <c r="N219" s="1" t="n"/>
    </row>
    <row r="220" customFormat="1" s="10">
      <c r="A220" s="1" t="n"/>
      <c r="B220" s="19" t="n"/>
      <c r="C220" s="67" t="n"/>
      <c r="D220" s="48" t="n"/>
      <c r="E220" s="2" t="n"/>
      <c r="F220" s="3" t="n"/>
      <c r="G220" s="3" t="n"/>
      <c r="H220" s="3" t="n"/>
      <c r="I220" s="3" t="n"/>
      <c r="J220" s="2" t="n"/>
      <c r="K220" s="1" t="n"/>
      <c r="L220" s="130" t="n"/>
      <c r="M220" s="2" t="n"/>
      <c r="N220" s="1" t="n"/>
    </row>
    <row r="221" customFormat="1" s="10">
      <c r="A221" s="1" t="n"/>
      <c r="B221" s="19" t="n"/>
      <c r="C221" s="67" t="n"/>
      <c r="D221" s="48" t="n"/>
      <c r="E221" s="2" t="n"/>
      <c r="F221" s="3" t="n"/>
      <c r="G221" s="3" t="n"/>
      <c r="H221" s="3" t="n"/>
      <c r="I221" s="3" t="n"/>
      <c r="J221" s="2" t="n"/>
      <c r="K221" s="1" t="n"/>
      <c r="L221" s="130" t="n"/>
      <c r="M221" s="2" t="n"/>
      <c r="N221" s="1" t="n"/>
    </row>
    <row r="225" customFormat="1" s="10">
      <c r="A225" s="1" t="n"/>
      <c r="B225" s="19" t="n"/>
      <c r="C225" s="67" t="n"/>
      <c r="D225" s="48" t="n"/>
      <c r="E225" s="2" t="n"/>
      <c r="F225" s="3" t="n"/>
      <c r="G225" s="3" t="n"/>
      <c r="H225" s="3" t="n"/>
      <c r="I225" s="3" t="n"/>
      <c r="J225" s="2" t="n"/>
      <c r="K225" s="1" t="n"/>
      <c r="L225" s="130" t="n"/>
      <c r="M225" s="2" t="n"/>
      <c r="N225" s="1" t="n"/>
    </row>
    <row r="226" customFormat="1" s="10">
      <c r="A226" s="1" t="n"/>
      <c r="B226" s="19" t="n"/>
      <c r="C226" s="67" t="n"/>
      <c r="D226" s="48" t="n"/>
      <c r="E226" s="2" t="n"/>
      <c r="F226" s="3" t="n"/>
      <c r="G226" s="3" t="n"/>
      <c r="H226" s="3" t="n"/>
      <c r="I226" s="3" t="n"/>
      <c r="J226" s="2" t="n"/>
      <c r="K226" s="1" t="n"/>
      <c r="L226" s="130" t="n"/>
      <c r="M226" s="2" t="n"/>
      <c r="N226" s="1" t="n"/>
    </row>
    <row r="229" customFormat="1" s="8">
      <c r="A229" s="1" t="n"/>
      <c r="B229" s="19" t="n"/>
      <c r="C229" s="67" t="n"/>
      <c r="D229" s="48" t="n"/>
      <c r="E229" s="2" t="n"/>
      <c r="F229" s="3" t="n"/>
      <c r="G229" s="3" t="n"/>
      <c r="H229" s="3" t="n"/>
      <c r="I229" s="3" t="n"/>
      <c r="J229" s="2" t="n"/>
      <c r="K229" s="1" t="n"/>
      <c r="L229" s="130" t="n"/>
      <c r="M229" s="2" t="n"/>
      <c r="N229" s="1" t="n"/>
    </row>
    <row r="230" customFormat="1" s="8">
      <c r="A230" s="1" t="n"/>
      <c r="B230" s="19" t="n"/>
      <c r="C230" s="67" t="n"/>
      <c r="D230" s="48" t="n"/>
      <c r="E230" s="2" t="n"/>
      <c r="F230" s="3" t="n"/>
      <c r="G230" s="3" t="n"/>
      <c r="H230" s="3" t="n"/>
      <c r="I230" s="3" t="n"/>
      <c r="J230" s="2" t="n"/>
      <c r="K230" s="1" t="n"/>
      <c r="L230" s="130" t="n"/>
      <c r="M230" s="2" t="n"/>
      <c r="N230" s="1" t="n"/>
    </row>
    <row r="233" customFormat="1" s="8">
      <c r="A233" s="1" t="n"/>
      <c r="B233" s="19" t="n"/>
      <c r="C233" s="67" t="n"/>
      <c r="D233" s="48" t="n"/>
      <c r="E233" s="2" t="n"/>
      <c r="F233" s="3" t="n"/>
      <c r="G233" s="3" t="n"/>
      <c r="H233" s="3" t="n"/>
      <c r="I233" s="3" t="n"/>
      <c r="J233" s="2" t="n"/>
      <c r="K233" s="1" t="n"/>
      <c r="L233" s="130" t="n"/>
      <c r="M233" s="2" t="n"/>
      <c r="N233" s="1" t="n"/>
    </row>
    <row r="237" customFormat="1" s="10">
      <c r="A237" s="1" t="n"/>
      <c r="B237" s="19" t="n"/>
      <c r="C237" s="67" t="n"/>
      <c r="D237" s="48" t="n"/>
      <c r="E237" s="2" t="n"/>
      <c r="F237" s="3" t="n"/>
      <c r="G237" s="3" t="n"/>
      <c r="H237" s="3" t="n"/>
      <c r="I237" s="3" t="n"/>
      <c r="J237" s="2" t="n"/>
      <c r="K237" s="1" t="n"/>
      <c r="L237" s="130" t="n"/>
      <c r="M237" s="2" t="n"/>
      <c r="N237" s="1" t="n"/>
    </row>
  </sheetData>
  <mergeCells count="2">
    <mergeCell ref="A1:C1"/>
    <mergeCell ref="L1:M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8" r:id="rId83"/>
    <hyperlink xmlns:r="http://schemas.openxmlformats.org/officeDocument/2006/relationships" ref="C89" r:id="rId84"/>
    <hyperlink xmlns:r="http://schemas.openxmlformats.org/officeDocument/2006/relationships" ref="C90" r:id="rId85"/>
    <hyperlink xmlns:r="http://schemas.openxmlformats.org/officeDocument/2006/relationships" ref="C91" r:id="rId86"/>
    <hyperlink xmlns:r="http://schemas.openxmlformats.org/officeDocument/2006/relationships" ref="C92" r:id="rId87"/>
    <hyperlink xmlns:r="http://schemas.openxmlformats.org/officeDocument/2006/relationships" ref="C93" r:id="rId88"/>
    <hyperlink xmlns:r="http://schemas.openxmlformats.org/officeDocument/2006/relationships" ref="C94" r:id="rId89"/>
    <hyperlink xmlns:r="http://schemas.openxmlformats.org/officeDocument/2006/relationships" ref="C95" r:id="rId90"/>
    <hyperlink xmlns:r="http://schemas.openxmlformats.org/officeDocument/2006/relationships" ref="C96" r:id="rId91"/>
    <hyperlink xmlns:r="http://schemas.openxmlformats.org/officeDocument/2006/relationships" ref="C97" r:id="rId92"/>
    <hyperlink xmlns:r="http://schemas.openxmlformats.org/officeDocument/2006/relationships" ref="C98" r:id="rId93"/>
    <hyperlink xmlns:r="http://schemas.openxmlformats.org/officeDocument/2006/relationships" ref="C99" r:id="rId94"/>
    <hyperlink xmlns:r="http://schemas.openxmlformats.org/officeDocument/2006/relationships" ref="C100" r:id="rId95"/>
    <hyperlink xmlns:r="http://schemas.openxmlformats.org/officeDocument/2006/relationships" ref="C102" r:id="rId96"/>
    <hyperlink xmlns:r="http://schemas.openxmlformats.org/officeDocument/2006/relationships" ref="C103" r:id="rId97"/>
    <hyperlink xmlns:r="http://schemas.openxmlformats.org/officeDocument/2006/relationships" ref="C104" r:id="rId98"/>
    <hyperlink xmlns:r="http://schemas.openxmlformats.org/officeDocument/2006/relationships" ref="C105" r:id="rId99"/>
    <hyperlink xmlns:r="http://schemas.openxmlformats.org/officeDocument/2006/relationships" ref="C106" r:id="rId100"/>
    <hyperlink xmlns:r="http://schemas.openxmlformats.org/officeDocument/2006/relationships" ref="C107" r:id="rId101"/>
    <hyperlink xmlns:r="http://schemas.openxmlformats.org/officeDocument/2006/relationships" ref="C108" r:id="rId102"/>
    <hyperlink xmlns:r="http://schemas.openxmlformats.org/officeDocument/2006/relationships" ref="C109" r:id="rId103"/>
    <hyperlink xmlns:r="http://schemas.openxmlformats.org/officeDocument/2006/relationships" ref="C111" r:id="rId104"/>
    <hyperlink xmlns:r="http://schemas.openxmlformats.org/officeDocument/2006/relationships" ref="C112" r:id="rId105"/>
    <hyperlink xmlns:r="http://schemas.openxmlformats.org/officeDocument/2006/relationships" ref="C113" r:id="rId106"/>
    <hyperlink xmlns:r="http://schemas.openxmlformats.org/officeDocument/2006/relationships" ref="C114" r:id="rId107"/>
    <hyperlink xmlns:r="http://schemas.openxmlformats.org/officeDocument/2006/relationships" ref="C115" r:id="rId108"/>
    <hyperlink xmlns:r="http://schemas.openxmlformats.org/officeDocument/2006/relationships" ref="C116" r:id="rId109"/>
    <hyperlink xmlns:r="http://schemas.openxmlformats.org/officeDocument/2006/relationships" ref="C117" r:id="rId110"/>
    <hyperlink xmlns:r="http://schemas.openxmlformats.org/officeDocument/2006/relationships" ref="C118" r:id="rId111"/>
    <hyperlink xmlns:r="http://schemas.openxmlformats.org/officeDocument/2006/relationships" ref="C119" r:id="rId112"/>
    <hyperlink xmlns:r="http://schemas.openxmlformats.org/officeDocument/2006/relationships" ref="C120" r:id="rId113"/>
    <hyperlink xmlns:r="http://schemas.openxmlformats.org/officeDocument/2006/relationships" ref="C121" r:id="rId114"/>
    <hyperlink xmlns:r="http://schemas.openxmlformats.org/officeDocument/2006/relationships" ref="C122" r:id="rId115"/>
    <hyperlink xmlns:r="http://schemas.openxmlformats.org/officeDocument/2006/relationships" ref="C123" r:id="rId116"/>
    <hyperlink xmlns:r="http://schemas.openxmlformats.org/officeDocument/2006/relationships" ref="C124" r:id="rId117"/>
    <hyperlink xmlns:r="http://schemas.openxmlformats.org/officeDocument/2006/relationships" ref="C125" r:id="rId118"/>
    <hyperlink xmlns:r="http://schemas.openxmlformats.org/officeDocument/2006/relationships" ref="C126" r:id="rId119"/>
    <hyperlink xmlns:r="http://schemas.openxmlformats.org/officeDocument/2006/relationships" ref="C128" r:id="rId120"/>
    <hyperlink xmlns:r="http://schemas.openxmlformats.org/officeDocument/2006/relationships" ref="C129" r:id="rId121"/>
    <hyperlink xmlns:r="http://schemas.openxmlformats.org/officeDocument/2006/relationships" ref="C130" r:id="rId122"/>
    <hyperlink xmlns:r="http://schemas.openxmlformats.org/officeDocument/2006/relationships" ref="C131" r:id="rId123"/>
    <hyperlink xmlns:r="http://schemas.openxmlformats.org/officeDocument/2006/relationships" ref="C132" r:id="rId124"/>
    <hyperlink xmlns:r="http://schemas.openxmlformats.org/officeDocument/2006/relationships" ref="C133" r:id="rId125"/>
    <hyperlink xmlns:r="http://schemas.openxmlformats.org/officeDocument/2006/relationships" ref="C134" r:id="rId126"/>
    <hyperlink xmlns:r="http://schemas.openxmlformats.org/officeDocument/2006/relationships" ref="C136" r:id="rId127"/>
    <hyperlink xmlns:r="http://schemas.openxmlformats.org/officeDocument/2006/relationships" ref="C137" r:id="rId128"/>
    <hyperlink xmlns:r="http://schemas.openxmlformats.org/officeDocument/2006/relationships" ref="C138" r:id="rId129"/>
    <hyperlink xmlns:r="http://schemas.openxmlformats.org/officeDocument/2006/relationships" ref="C139" r:id="rId130"/>
    <hyperlink xmlns:r="http://schemas.openxmlformats.org/officeDocument/2006/relationships" ref="C140" r:id="rId131"/>
    <hyperlink xmlns:r="http://schemas.openxmlformats.org/officeDocument/2006/relationships" ref="C141" r:id="rId132"/>
    <hyperlink xmlns:r="http://schemas.openxmlformats.org/officeDocument/2006/relationships" ref="C142" r:id="rId133"/>
    <hyperlink xmlns:r="http://schemas.openxmlformats.org/officeDocument/2006/relationships" ref="C144" r:id="rId134"/>
    <hyperlink xmlns:r="http://schemas.openxmlformats.org/officeDocument/2006/relationships" ref="C145" r:id="rId135"/>
    <hyperlink xmlns:r="http://schemas.openxmlformats.org/officeDocument/2006/relationships" ref="C146" r:id="rId136"/>
    <hyperlink xmlns:r="http://schemas.openxmlformats.org/officeDocument/2006/relationships" ref="C147" r:id="rId137"/>
    <hyperlink xmlns:r="http://schemas.openxmlformats.org/officeDocument/2006/relationships" ref="C149" r:id="rId138"/>
    <hyperlink xmlns:r="http://schemas.openxmlformats.org/officeDocument/2006/relationships" ref="C150" r:id="rId139"/>
    <hyperlink xmlns:r="http://schemas.openxmlformats.org/officeDocument/2006/relationships" ref="C151" r:id="rId140"/>
    <hyperlink xmlns:r="http://schemas.openxmlformats.org/officeDocument/2006/relationships" ref="C152" r:id="rId141"/>
    <hyperlink xmlns:r="http://schemas.openxmlformats.org/officeDocument/2006/relationships" ref="C153" r:id="rId142"/>
    <hyperlink xmlns:r="http://schemas.openxmlformats.org/officeDocument/2006/relationships" ref="C154" r:id="rId143"/>
    <hyperlink xmlns:r="http://schemas.openxmlformats.org/officeDocument/2006/relationships" ref="C155" r:id="rId144"/>
    <hyperlink xmlns:r="http://schemas.openxmlformats.org/officeDocument/2006/relationships" ref="C156" r:id="rId145"/>
    <hyperlink xmlns:r="http://schemas.openxmlformats.org/officeDocument/2006/relationships" ref="C157" r:id="rId146"/>
    <hyperlink xmlns:r="http://schemas.openxmlformats.org/officeDocument/2006/relationships" ref="C158" r:id="rId147"/>
    <hyperlink xmlns:r="http://schemas.openxmlformats.org/officeDocument/2006/relationships" ref="C159" r:id="rId148"/>
    <hyperlink xmlns:r="http://schemas.openxmlformats.org/officeDocument/2006/relationships" ref="C160" r:id="rId149"/>
    <hyperlink xmlns:r="http://schemas.openxmlformats.org/officeDocument/2006/relationships" ref="C161" r:id="rId150"/>
    <hyperlink xmlns:r="http://schemas.openxmlformats.org/officeDocument/2006/relationships" ref="C162" r:id="rId151"/>
    <hyperlink xmlns:r="http://schemas.openxmlformats.org/officeDocument/2006/relationships" ref="C163" r:id="rId152"/>
    <hyperlink xmlns:r="http://schemas.openxmlformats.org/officeDocument/2006/relationships" ref="C165" r:id="rId153"/>
    <hyperlink xmlns:r="http://schemas.openxmlformats.org/officeDocument/2006/relationships" ref="C166" r:id="rId154"/>
    <hyperlink xmlns:r="http://schemas.openxmlformats.org/officeDocument/2006/relationships" ref="C167" r:id="rId155"/>
    <hyperlink xmlns:r="http://schemas.openxmlformats.org/officeDocument/2006/relationships" ref="C168" r:id="rId156"/>
    <hyperlink xmlns:r="http://schemas.openxmlformats.org/officeDocument/2006/relationships" ref="C169" r:id="rId157"/>
    <hyperlink xmlns:r="http://schemas.openxmlformats.org/officeDocument/2006/relationships" ref="C170" r:id="rId158"/>
    <hyperlink xmlns:r="http://schemas.openxmlformats.org/officeDocument/2006/relationships" ref="C171" r:id="rId159"/>
    <hyperlink xmlns:r="http://schemas.openxmlformats.org/officeDocument/2006/relationships" ref="C172" r:id="rId160"/>
    <hyperlink xmlns:r="http://schemas.openxmlformats.org/officeDocument/2006/relationships" ref="C173" r:id="rId161"/>
    <hyperlink xmlns:r="http://schemas.openxmlformats.org/officeDocument/2006/relationships" ref="C174" r:id="rId162"/>
    <hyperlink xmlns:r="http://schemas.openxmlformats.org/officeDocument/2006/relationships" ref="C175" r:id="rId163"/>
    <hyperlink xmlns:r="http://schemas.openxmlformats.org/officeDocument/2006/relationships" ref="C176" r:id="rId164"/>
    <hyperlink xmlns:r="http://schemas.openxmlformats.org/officeDocument/2006/relationships" ref="C177" r:id="rId165"/>
    <hyperlink xmlns:r="http://schemas.openxmlformats.org/officeDocument/2006/relationships" ref="C179" r:id="rId166"/>
    <hyperlink xmlns:r="http://schemas.openxmlformats.org/officeDocument/2006/relationships" ref="C180" r:id="rId167"/>
    <hyperlink xmlns:r="http://schemas.openxmlformats.org/officeDocument/2006/relationships" ref="C181" r:id="rId168"/>
    <hyperlink xmlns:r="http://schemas.openxmlformats.org/officeDocument/2006/relationships" ref="C182" r:id="rId169"/>
    <hyperlink xmlns:r="http://schemas.openxmlformats.org/officeDocument/2006/relationships" ref="C183" r:id="rId170"/>
    <hyperlink xmlns:r="http://schemas.openxmlformats.org/officeDocument/2006/relationships" ref="C184" r:id="rId171"/>
    <hyperlink xmlns:r="http://schemas.openxmlformats.org/officeDocument/2006/relationships" ref="C185" r:id="rId172"/>
    <hyperlink xmlns:r="http://schemas.openxmlformats.org/officeDocument/2006/relationships" ref="C186" r:id="rId173"/>
    <hyperlink xmlns:r="http://schemas.openxmlformats.org/officeDocument/2006/relationships" ref="C187" r:id="rId174"/>
    <hyperlink xmlns:r="http://schemas.openxmlformats.org/officeDocument/2006/relationships" ref="C188" r:id="rId175"/>
    <hyperlink xmlns:r="http://schemas.openxmlformats.org/officeDocument/2006/relationships" ref="C189" r:id="rId176"/>
    <hyperlink xmlns:r="http://schemas.openxmlformats.org/officeDocument/2006/relationships" ref="C190" r:id="rId177"/>
    <hyperlink xmlns:r="http://schemas.openxmlformats.org/officeDocument/2006/relationships" ref="C191" r:id="rId178"/>
    <hyperlink xmlns:r="http://schemas.openxmlformats.org/officeDocument/2006/relationships" ref="C192" r:id="rId179"/>
    <hyperlink xmlns:r="http://schemas.openxmlformats.org/officeDocument/2006/relationships" ref="C193" r:id="rId180"/>
    <hyperlink xmlns:r="http://schemas.openxmlformats.org/officeDocument/2006/relationships" ref="C194" r:id="rId181"/>
    <hyperlink xmlns:r="http://schemas.openxmlformats.org/officeDocument/2006/relationships" ref="C195" r:id="rId182"/>
    <hyperlink xmlns:r="http://schemas.openxmlformats.org/officeDocument/2006/relationships" ref="C196" r:id="rId183"/>
    <hyperlink xmlns:r="http://schemas.openxmlformats.org/officeDocument/2006/relationships" ref="C197" r:id="rId184"/>
    <hyperlink xmlns:r="http://schemas.openxmlformats.org/officeDocument/2006/relationships" ref="C198" r:id="rId185"/>
    <hyperlink xmlns:r="http://schemas.openxmlformats.org/officeDocument/2006/relationships" ref="C199" r:id="rId186"/>
    <hyperlink xmlns:r="http://schemas.openxmlformats.org/officeDocument/2006/relationships" ref="C200" r:id="rId187"/>
    <hyperlink xmlns:r="http://schemas.openxmlformats.org/officeDocument/2006/relationships" ref="C201" r:id="rId188"/>
    <hyperlink xmlns:r="http://schemas.openxmlformats.org/officeDocument/2006/relationships" ref="C202" r:id="rId189"/>
    <hyperlink xmlns:r="http://schemas.openxmlformats.org/officeDocument/2006/relationships" ref="C203" r:id="rId190"/>
    <hyperlink xmlns:r="http://schemas.openxmlformats.org/officeDocument/2006/relationships" ref="C204" r:id="rId191"/>
    <hyperlink xmlns:r="http://schemas.openxmlformats.org/officeDocument/2006/relationships" ref="C205" r:id="rId192"/>
    <hyperlink xmlns:r="http://schemas.openxmlformats.org/officeDocument/2006/relationships" ref="C206" r:id="rId193"/>
    <hyperlink xmlns:r="http://schemas.openxmlformats.org/officeDocument/2006/relationships" ref="C207" r:id="rId194"/>
    <hyperlink xmlns:r="http://schemas.openxmlformats.org/officeDocument/2006/relationships" ref="C211" r:id="rId195"/>
    <hyperlink xmlns:r="http://schemas.openxmlformats.org/officeDocument/2006/relationships" ref="C212" r:id="rId196"/>
    <hyperlink xmlns:r="http://schemas.openxmlformats.org/officeDocument/2006/relationships" ref="C213" r:id="rId197"/>
    <hyperlink xmlns:r="http://schemas.openxmlformats.org/officeDocument/2006/relationships" ref="C214" r:id="rId198"/>
    <hyperlink xmlns:r="http://schemas.openxmlformats.org/officeDocument/2006/relationships" ref="C215" r:id="rId199"/>
    <hyperlink xmlns:r="http://schemas.openxmlformats.org/officeDocument/2006/relationships" ref="C216" r:id="rId200"/>
    <hyperlink xmlns:r="http://schemas.openxmlformats.org/officeDocument/2006/relationships" ref="C217" r:id="rId201"/>
    <hyperlink xmlns:r="http://schemas.openxmlformats.org/officeDocument/2006/relationships" ref="C218" r:id="rId202"/>
  </hyperlinks>
  <pageMargins left="0.39375" right="0.39375" top="0.39375" bottom="0.39375" header="0.511811023622047" footer="0.511811023622047"/>
  <pageSetup orientation="portrait" pageOrder="overThenDown" horizontalDpi="300" verticalDpi="300"/>
  <drawing xmlns:r="http://schemas.openxmlformats.org/officeDocument/2006/relationships" r:id="rId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90" zoomScaleNormal="90" workbookViewId="0">
      <selection activeCell="G25" sqref="G25"/>
    </sheetView>
  </sheetViews>
  <sheetFormatPr baseColWidth="8" defaultColWidth="8.7109375" defaultRowHeight="10.2"/>
  <cols>
    <col width="62.7109375" customWidth="1" style="9" min="7" max="7"/>
  </cols>
  <sheetData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</dc:creator>
  <dc:language>ru-RU</dc:language>
  <dcterms:created xsi:type="dcterms:W3CDTF">2020-09-29T11:52:53Z</dcterms:created>
  <dcterms:modified xsi:type="dcterms:W3CDTF">2026-09-11T18:52:38Z</dcterms:modified>
  <cp:lastModifiedBy>User</cp:lastModifiedBy>
  <cp:revision>88</cp:revision>
</cp:coreProperties>
</file>